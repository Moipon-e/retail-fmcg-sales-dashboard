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oiponeMo\Downloads\"/>
    </mc:Choice>
  </mc:AlternateContent>
  <xr:revisionPtr revIDLastSave="0" documentId="13_ncr:1_{9D72340F-BF95-4922-A970-3EF7B8F165B7}" xr6:coauthVersionLast="47" xr6:coauthVersionMax="47" xr10:uidLastSave="{00000000-0000-0000-0000-000000000000}"/>
  <bookViews>
    <workbookView xWindow="-28910" yWindow="-110" windowWidth="29020" windowHeight="15700" activeTab="3" xr2:uid="{00000000-000D-0000-FFFF-FFFF00000000}"/>
  </bookViews>
  <sheets>
    <sheet name="Retail Data" sheetId="1" r:id="rId1"/>
    <sheet name="Pivot Table" sheetId="2" r:id="rId2"/>
    <sheet name="Dashboad" sheetId="3" r:id="rId3"/>
    <sheet name="Sales Perfomance Summary" sheetId="4" r:id="rId4"/>
  </sheets>
  <definedNames>
    <definedName name="Slicer_Month">#N/A</definedName>
    <definedName name="Slicer_Product_Category">#N/A</definedName>
    <definedName name="Slicer_Promotion">#N/A</definedName>
    <definedName name="Slicer_Provin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2" l="1"/>
</calcChain>
</file>

<file path=xl/sharedStrings.xml><?xml version="1.0" encoding="utf-8"?>
<sst xmlns="http://schemas.openxmlformats.org/spreadsheetml/2006/main" count="2476" uniqueCount="416">
  <si>
    <t>Order_ID</t>
  </si>
  <si>
    <t>Order_Date</t>
  </si>
  <si>
    <t>Province</t>
  </si>
  <si>
    <t>City</t>
  </si>
  <si>
    <t>Store_Name</t>
  </si>
  <si>
    <t>Product_Category</t>
  </si>
  <si>
    <t>Product_Name</t>
  </si>
  <si>
    <t>Brand</t>
  </si>
  <si>
    <t>Units_Sold</t>
  </si>
  <si>
    <t>Unit_Price</t>
  </si>
  <si>
    <t>Cost_Price</t>
  </si>
  <si>
    <t>Promotion</t>
  </si>
  <si>
    <t>Payment_Method</t>
  </si>
  <si>
    <t>Stock_Availability</t>
  </si>
  <si>
    <t>Revenue</t>
  </si>
  <si>
    <t>Total_Cost</t>
  </si>
  <si>
    <t>Profit</t>
  </si>
  <si>
    <t>Month</t>
  </si>
  <si>
    <t>Year</t>
  </si>
  <si>
    <t>Gross_Margin_%</t>
  </si>
  <si>
    <t>ORD1001</t>
  </si>
  <si>
    <t>2025-04-04</t>
  </si>
  <si>
    <t>Western Cape</t>
  </si>
  <si>
    <t>Stellenbosch</t>
  </si>
  <si>
    <t>Stellenbosch Store</t>
  </si>
  <si>
    <t>Fragrance</t>
  </si>
  <si>
    <t>Revlon Perfume</t>
  </si>
  <si>
    <t>Revlon</t>
  </si>
  <si>
    <t>Yes</t>
  </si>
  <si>
    <t>Card</t>
  </si>
  <si>
    <t>In Stock</t>
  </si>
  <si>
    <t>Apr</t>
  </si>
  <si>
    <t>ORD1002</t>
  </si>
  <si>
    <t>2025-02-28</t>
  </si>
  <si>
    <t>Cape Town</t>
  </si>
  <si>
    <t>Cape Town Store</t>
  </si>
  <si>
    <t>Skincare</t>
  </si>
  <si>
    <t>Dove Body Cream</t>
  </si>
  <si>
    <t>Dove</t>
  </si>
  <si>
    <t>Cash</t>
  </si>
  <si>
    <t>Low Stock</t>
  </si>
  <si>
    <t>Feb</t>
  </si>
  <si>
    <t>ORD1003</t>
  </si>
  <si>
    <t>2025-01-28</t>
  </si>
  <si>
    <t>Limpopo</t>
  </si>
  <si>
    <t>Polokwane</t>
  </si>
  <si>
    <t>Polokwane Store</t>
  </si>
  <si>
    <t>Haircare</t>
  </si>
  <si>
    <t>Garnier Conditioner</t>
  </si>
  <si>
    <t>Garnier</t>
  </si>
  <si>
    <t>Jan</t>
  </si>
  <si>
    <t>ORD1004</t>
  </si>
  <si>
    <t>2025-04-29</t>
  </si>
  <si>
    <t>Dove Shampoo</t>
  </si>
  <si>
    <t>ORD1005</t>
  </si>
  <si>
    <t>2025-04-03</t>
  </si>
  <si>
    <t>CK Perfume</t>
  </si>
  <si>
    <t>CK</t>
  </si>
  <si>
    <t>No</t>
  </si>
  <si>
    <t>ORD1006</t>
  </si>
  <si>
    <t>2025-05-23</t>
  </si>
  <si>
    <t>May</t>
  </si>
  <si>
    <t>ORD1007</t>
  </si>
  <si>
    <t>2025-01-22</t>
  </si>
  <si>
    <t>Eastern Cape</t>
  </si>
  <si>
    <t>Port Elizabeth</t>
  </si>
  <si>
    <t>Port Elizabeth Store</t>
  </si>
  <si>
    <t>Makeup</t>
  </si>
  <si>
    <t>MAC Lipstick</t>
  </si>
  <si>
    <t>MAC</t>
  </si>
  <si>
    <t>Out of Stock</t>
  </si>
  <si>
    <t>ORD1008</t>
  </si>
  <si>
    <t>2025-01-05</t>
  </si>
  <si>
    <t>Gauteng</t>
  </si>
  <si>
    <t>Johannesburg</t>
  </si>
  <si>
    <t>Johannesburg Store</t>
  </si>
  <si>
    <t>ORD1009</t>
  </si>
  <si>
    <t>2025-03-03</t>
  </si>
  <si>
    <t>Mar</t>
  </si>
  <si>
    <t>ORD1010</t>
  </si>
  <si>
    <t>2025-06-07</t>
  </si>
  <si>
    <t>Nivea Body Lotion</t>
  </si>
  <si>
    <t>Nivea</t>
  </si>
  <si>
    <t>Jun</t>
  </si>
  <si>
    <t>ORD1011</t>
  </si>
  <si>
    <t>2025-06-02</t>
  </si>
  <si>
    <t>KwaZulu-Natal</t>
  </si>
  <si>
    <t>Pietermaritzburg</t>
  </si>
  <si>
    <t>Pietermaritzburg Store</t>
  </si>
  <si>
    <t>ORD1012</t>
  </si>
  <si>
    <t>2025-04-11</t>
  </si>
  <si>
    <t>East London</t>
  </si>
  <si>
    <t>East London Store</t>
  </si>
  <si>
    <t>ORD1013</t>
  </si>
  <si>
    <t>2025-06-23</t>
  </si>
  <si>
    <t>Toiletries</t>
  </si>
  <si>
    <t>Colgate Toothpaste</t>
  </si>
  <si>
    <t>Colgate</t>
  </si>
  <si>
    <t>ORD1014</t>
  </si>
  <si>
    <t>2025-06-26</t>
  </si>
  <si>
    <t>ORD1015</t>
  </si>
  <si>
    <t>2025-04-23</t>
  </si>
  <si>
    <t>Dettol Soap</t>
  </si>
  <si>
    <t>Dettol</t>
  </si>
  <si>
    <t>ORD1016</t>
  </si>
  <si>
    <t>2025-04-08</t>
  </si>
  <si>
    <t>ORD1017</t>
  </si>
  <si>
    <t>2025-02-02</t>
  </si>
  <si>
    <t>Maybelline Mascara</t>
  </si>
  <si>
    <t>Maybelline</t>
  </si>
  <si>
    <t>ORD1018</t>
  </si>
  <si>
    <t>2025-05-12</t>
  </si>
  <si>
    <t>Durban</t>
  </si>
  <si>
    <t>Durban Store</t>
  </si>
  <si>
    <t>ORD1019</t>
  </si>
  <si>
    <t>2025-05-13</t>
  </si>
  <si>
    <t>ORD1020</t>
  </si>
  <si>
    <t>2025-02-20</t>
  </si>
  <si>
    <t>Pretoria</t>
  </si>
  <si>
    <t>Pretoria Store</t>
  </si>
  <si>
    <t>ORD1021</t>
  </si>
  <si>
    <t>2025-03-20</t>
  </si>
  <si>
    <t>ORD1022</t>
  </si>
  <si>
    <t>2025-02-21</t>
  </si>
  <si>
    <t>ORD1023</t>
  </si>
  <si>
    <t>ORD1024</t>
  </si>
  <si>
    <t>2025-05-10</t>
  </si>
  <si>
    <t>ORD1025</t>
  </si>
  <si>
    <t>2025-03-06</t>
  </si>
  <si>
    <t>ORD1026</t>
  </si>
  <si>
    <t>2025-03-13</t>
  </si>
  <si>
    <t>ORD1027</t>
  </si>
  <si>
    <t>2025-02-22</t>
  </si>
  <si>
    <t>ORD1028</t>
  </si>
  <si>
    <t>ORD1029</t>
  </si>
  <si>
    <t>2025-06-14</t>
  </si>
  <si>
    <t>ORD1030</t>
  </si>
  <si>
    <t>2025-01-06</t>
  </si>
  <si>
    <t>ORD1031</t>
  </si>
  <si>
    <t>2025-01-21</t>
  </si>
  <si>
    <t>ORD1032</t>
  </si>
  <si>
    <t>2025-04-02</t>
  </si>
  <si>
    <t>ORD1033</t>
  </si>
  <si>
    <t>2025-02-16</t>
  </si>
  <si>
    <t>ORD1034</t>
  </si>
  <si>
    <t>2025-03-24</t>
  </si>
  <si>
    <t>ORD1035</t>
  </si>
  <si>
    <t>2025-02-03</t>
  </si>
  <si>
    <t>ORD1036</t>
  </si>
  <si>
    <t>2025-04-15</t>
  </si>
  <si>
    <t>ORD1037</t>
  </si>
  <si>
    <t>2025-04-13</t>
  </si>
  <si>
    <t>ORD1038</t>
  </si>
  <si>
    <t>2025-01-23</t>
  </si>
  <si>
    <t>ORD1039</t>
  </si>
  <si>
    <t>2025-06-09</t>
  </si>
  <si>
    <t>ORD1040</t>
  </si>
  <si>
    <t>2025-05-08</t>
  </si>
  <si>
    <t>ORD1041</t>
  </si>
  <si>
    <t>2025-05-20</t>
  </si>
  <si>
    <t>ORD1042</t>
  </si>
  <si>
    <t>2025-02-18</t>
  </si>
  <si>
    <t>ORD1043</t>
  </si>
  <si>
    <t>2025-06-01</t>
  </si>
  <si>
    <t>ORD1044</t>
  </si>
  <si>
    <t>2025-02-08</t>
  </si>
  <si>
    <t>ORD1045</t>
  </si>
  <si>
    <t>2025-06-24</t>
  </si>
  <si>
    <t>ORD1046</t>
  </si>
  <si>
    <t>2025-05-05</t>
  </si>
  <si>
    <t>ORD1047</t>
  </si>
  <si>
    <t>2025-01-12</t>
  </si>
  <si>
    <t>ORD1048</t>
  </si>
  <si>
    <t>2025-03-19</t>
  </si>
  <si>
    <t>ORD1049</t>
  </si>
  <si>
    <t>2025-06-21</t>
  </si>
  <si>
    <t>ORD1050</t>
  </si>
  <si>
    <t>2025-03-11</t>
  </si>
  <si>
    <t>ORD1051</t>
  </si>
  <si>
    <t>ORD1052</t>
  </si>
  <si>
    <t>2025-06-10</t>
  </si>
  <si>
    <t>ORD1053</t>
  </si>
  <si>
    <t>2025-04-18</t>
  </si>
  <si>
    <t>ORD1054</t>
  </si>
  <si>
    <t>2025-03-21</t>
  </si>
  <si>
    <t>ORD1055</t>
  </si>
  <si>
    <t>2025-03-05</t>
  </si>
  <si>
    <t>ORD1056</t>
  </si>
  <si>
    <t>2025-01-07</t>
  </si>
  <si>
    <t>ORD1057</t>
  </si>
  <si>
    <t>2025-02-19</t>
  </si>
  <si>
    <t>ORD1058</t>
  </si>
  <si>
    <t>ORD1059</t>
  </si>
  <si>
    <t>2025-05-29</t>
  </si>
  <si>
    <t>ORD1060</t>
  </si>
  <si>
    <t>2025-01-30</t>
  </si>
  <si>
    <t>ORD1061</t>
  </si>
  <si>
    <t>2025-04-16</t>
  </si>
  <si>
    <t>ORD1062</t>
  </si>
  <si>
    <t>ORD1063</t>
  </si>
  <si>
    <t>2025-04-12</t>
  </si>
  <si>
    <t>ORD1064</t>
  </si>
  <si>
    <t>ORD1065</t>
  </si>
  <si>
    <t>2025-05-22</t>
  </si>
  <si>
    <t>ORD1066</t>
  </si>
  <si>
    <t>ORD1067</t>
  </si>
  <si>
    <t>ORD1068</t>
  </si>
  <si>
    <t>ORD1069</t>
  </si>
  <si>
    <t>ORD1070</t>
  </si>
  <si>
    <t>2025-05-03</t>
  </si>
  <si>
    <t>ORD1071</t>
  </si>
  <si>
    <t>2025-01-20</t>
  </si>
  <si>
    <t>ORD1072</t>
  </si>
  <si>
    <t>2025-05-18</t>
  </si>
  <si>
    <t>ORD1073</t>
  </si>
  <si>
    <t>2025-06-30</t>
  </si>
  <si>
    <t>ORD1074</t>
  </si>
  <si>
    <t>2025-05-30</t>
  </si>
  <si>
    <t>ORD1075</t>
  </si>
  <si>
    <t>ORD1076</t>
  </si>
  <si>
    <t>2025-05-04</t>
  </si>
  <si>
    <t>ORD1077</t>
  </si>
  <si>
    <t>2025-03-04</t>
  </si>
  <si>
    <t>ORD1078</t>
  </si>
  <si>
    <t>ORD1079</t>
  </si>
  <si>
    <t>ORD1080</t>
  </si>
  <si>
    <t>ORD1081</t>
  </si>
  <si>
    <t>2025-02-06</t>
  </si>
  <si>
    <t>ORD1082</t>
  </si>
  <si>
    <t>ORD1083</t>
  </si>
  <si>
    <t>ORD1084</t>
  </si>
  <si>
    <t>2025-04-01</t>
  </si>
  <si>
    <t>ORD1085</t>
  </si>
  <si>
    <t>2025-05-06</t>
  </si>
  <si>
    <t>ORD1086</t>
  </si>
  <si>
    <t>2025-01-19</t>
  </si>
  <si>
    <t>ORD1087</t>
  </si>
  <si>
    <t>ORD1088</t>
  </si>
  <si>
    <t>ORD1089</t>
  </si>
  <si>
    <t>ORD1090</t>
  </si>
  <si>
    <t>2025-01-02</t>
  </si>
  <si>
    <t>ORD1091</t>
  </si>
  <si>
    <t>ORD1092</t>
  </si>
  <si>
    <t>ORD1093</t>
  </si>
  <si>
    <t>ORD1094</t>
  </si>
  <si>
    <t>ORD1095</t>
  </si>
  <si>
    <t>2025-03-15</t>
  </si>
  <si>
    <t>ORD1096</t>
  </si>
  <si>
    <t>ORD1097</t>
  </si>
  <si>
    <t>ORD1098</t>
  </si>
  <si>
    <t>2025-05-16</t>
  </si>
  <si>
    <t>ORD1099</t>
  </si>
  <si>
    <t>ORD1100</t>
  </si>
  <si>
    <t>2025-01-13</t>
  </si>
  <si>
    <t>ORD1101</t>
  </si>
  <si>
    <t>ORD1102</t>
  </si>
  <si>
    <t>2025-01-25</t>
  </si>
  <si>
    <t>ORD1103</t>
  </si>
  <si>
    <t>2025-02-13</t>
  </si>
  <si>
    <t>ORD1104</t>
  </si>
  <si>
    <t>2025-03-23</t>
  </si>
  <si>
    <t>ORD1105</t>
  </si>
  <si>
    <t>2025-04-25</t>
  </si>
  <si>
    <t>ORD1106</t>
  </si>
  <si>
    <t>2025-05-31</t>
  </si>
  <si>
    <t>ORD1107</t>
  </si>
  <si>
    <t>ORD1108</t>
  </si>
  <si>
    <t>ORD1109</t>
  </si>
  <si>
    <t>ORD1110</t>
  </si>
  <si>
    <t>2025-02-07</t>
  </si>
  <si>
    <t>ORD1111</t>
  </si>
  <si>
    <t>ORD1112</t>
  </si>
  <si>
    <t>ORD1113</t>
  </si>
  <si>
    <t>2025-05-17</t>
  </si>
  <si>
    <t>ORD1114</t>
  </si>
  <si>
    <t>2025-04-10</t>
  </si>
  <si>
    <t>ORD1115</t>
  </si>
  <si>
    <t>2025-01-04</t>
  </si>
  <si>
    <t>ORD1116</t>
  </si>
  <si>
    <t>ORD1117</t>
  </si>
  <si>
    <t>ORD1118</t>
  </si>
  <si>
    <t>2025-05-27</t>
  </si>
  <si>
    <t>ORD1119</t>
  </si>
  <si>
    <t>2025-01-09</t>
  </si>
  <si>
    <t>ORD1120</t>
  </si>
  <si>
    <t>ORD1121</t>
  </si>
  <si>
    <t>ORD1122</t>
  </si>
  <si>
    <t>2025-06-16</t>
  </si>
  <si>
    <t>ORD1123</t>
  </si>
  <si>
    <t>2025-03-31</t>
  </si>
  <si>
    <t>ORD1124</t>
  </si>
  <si>
    <t>ORD1125</t>
  </si>
  <si>
    <t>ORD1126</t>
  </si>
  <si>
    <t>2025-05-11</t>
  </si>
  <si>
    <t>ORD1127</t>
  </si>
  <si>
    <t>ORD1128</t>
  </si>
  <si>
    <t>2025-06-06</t>
  </si>
  <si>
    <t>ORD1129</t>
  </si>
  <si>
    <t>2025-06-11</t>
  </si>
  <si>
    <t>ORD1130</t>
  </si>
  <si>
    <t>ORD1131</t>
  </si>
  <si>
    <t>2025-01-26</t>
  </si>
  <si>
    <t>ORD1132</t>
  </si>
  <si>
    <t>ORD1133</t>
  </si>
  <si>
    <t>2025-06-04</t>
  </si>
  <si>
    <t>ORD1134</t>
  </si>
  <si>
    <t>ORD1135</t>
  </si>
  <si>
    <t>2025-02-05</t>
  </si>
  <si>
    <t>ORD1136</t>
  </si>
  <si>
    <t>ORD1137</t>
  </si>
  <si>
    <t>2025-03-02</t>
  </si>
  <si>
    <t>ORD1138</t>
  </si>
  <si>
    <t>2025-03-14</t>
  </si>
  <si>
    <t>ORD1139</t>
  </si>
  <si>
    <t>ORD1140</t>
  </si>
  <si>
    <t>ORD1141</t>
  </si>
  <si>
    <t>2025-06-17</t>
  </si>
  <si>
    <t>ORD1142</t>
  </si>
  <si>
    <t>2025-03-26</t>
  </si>
  <si>
    <t>ORD1143</t>
  </si>
  <si>
    <t>ORD1144</t>
  </si>
  <si>
    <t>2025-01-01</t>
  </si>
  <si>
    <t>ORD1145</t>
  </si>
  <si>
    <t>ORD1146</t>
  </si>
  <si>
    <t>ORD1147</t>
  </si>
  <si>
    <t>2025-06-19</t>
  </si>
  <si>
    <t>ORD1148</t>
  </si>
  <si>
    <t>ORD1149</t>
  </si>
  <si>
    <t>ORD1150</t>
  </si>
  <si>
    <t>ORD1151</t>
  </si>
  <si>
    <t>ORD1152</t>
  </si>
  <si>
    <t>ORD1153</t>
  </si>
  <si>
    <t>ORD1154</t>
  </si>
  <si>
    <t>ORD1155</t>
  </si>
  <si>
    <t>ORD1156</t>
  </si>
  <si>
    <t>ORD1157</t>
  </si>
  <si>
    <t>ORD1158</t>
  </si>
  <si>
    <t>ORD1159</t>
  </si>
  <si>
    <t>2025-04-19</t>
  </si>
  <si>
    <t>ORD1160</t>
  </si>
  <si>
    <t>ORD1161</t>
  </si>
  <si>
    <t>ORD1162</t>
  </si>
  <si>
    <t>ORD1163</t>
  </si>
  <si>
    <t>ORD1164</t>
  </si>
  <si>
    <t>ORD1165</t>
  </si>
  <si>
    <t>ORD1166</t>
  </si>
  <si>
    <t>2025-05-07</t>
  </si>
  <si>
    <t>ORD1167</t>
  </si>
  <si>
    <t>2025-04-20</t>
  </si>
  <si>
    <t>ORD1168</t>
  </si>
  <si>
    <t>ORD1169</t>
  </si>
  <si>
    <t>ORD1170</t>
  </si>
  <si>
    <t>ORD1171</t>
  </si>
  <si>
    <t>2025-06-28</t>
  </si>
  <si>
    <t>ORD1172</t>
  </si>
  <si>
    <t>2025-03-09</t>
  </si>
  <si>
    <t>ORD1173</t>
  </si>
  <si>
    <t>ORD1174</t>
  </si>
  <si>
    <t>2025-02-11</t>
  </si>
  <si>
    <t>ORD1175</t>
  </si>
  <si>
    <t>ORD1176</t>
  </si>
  <si>
    <t>ORD1177</t>
  </si>
  <si>
    <t>ORD1178</t>
  </si>
  <si>
    <t>ORD1179</t>
  </si>
  <si>
    <t>ORD1180</t>
  </si>
  <si>
    <t>ORD1181</t>
  </si>
  <si>
    <t>2025-05-25</t>
  </si>
  <si>
    <t>ORD1182</t>
  </si>
  <si>
    <t>ORD1183</t>
  </si>
  <si>
    <t>2025-04-17</t>
  </si>
  <si>
    <t>ORD1184</t>
  </si>
  <si>
    <t>ORD1185</t>
  </si>
  <si>
    <t>2025-05-19</t>
  </si>
  <si>
    <t>ORD1186</t>
  </si>
  <si>
    <t>ORD1187</t>
  </si>
  <si>
    <t>ORD1188</t>
  </si>
  <si>
    <t>ORD1189</t>
  </si>
  <si>
    <t>ORD1190</t>
  </si>
  <si>
    <t>ORD1191</t>
  </si>
  <si>
    <t>2025-04-28</t>
  </si>
  <si>
    <t>ORD1192</t>
  </si>
  <si>
    <t>2025-01-03</t>
  </si>
  <si>
    <t>ORD1193</t>
  </si>
  <si>
    <t>ORD1194</t>
  </si>
  <si>
    <t>2025-01-08</t>
  </si>
  <si>
    <t>ORD1195</t>
  </si>
  <si>
    <t>2025-02-14</t>
  </si>
  <si>
    <t>ORD1196</t>
  </si>
  <si>
    <t>ORD1197</t>
  </si>
  <si>
    <t>ORD1198</t>
  </si>
  <si>
    <t>ORD1199</t>
  </si>
  <si>
    <t>2025-02-24</t>
  </si>
  <si>
    <t>ORD1200</t>
  </si>
  <si>
    <t>Sum of Revenue</t>
  </si>
  <si>
    <t>Sum of Profit</t>
  </si>
  <si>
    <t>Sum of Units_Sold</t>
  </si>
  <si>
    <t>Row Labels</t>
  </si>
  <si>
    <t>Grand Total</t>
  </si>
  <si>
    <t xml:space="preserve">Revenue </t>
  </si>
  <si>
    <t xml:space="preserve">Revenue  </t>
  </si>
  <si>
    <t xml:space="preserve">Revenue   </t>
  </si>
  <si>
    <t xml:space="preserve">Profit </t>
  </si>
  <si>
    <t xml:space="preserve">Revenue     </t>
  </si>
  <si>
    <t>Objective</t>
  </si>
  <si>
    <t>Key Insights</t>
  </si>
  <si>
    <t>Gauteng generated the highest overall revenue, indicating strong market performance in this region.</t>
  </si>
  <si>
    <t>Monthly revenue trends show relatively consistent performance with slight fluctuations across the six-month period.</t>
  </si>
  <si>
    <t>Product categories such as Skincare and Haircare contributed significantly to total revenue, while some categories showed lower profit margins.</t>
  </si>
  <si>
    <t>Store performance varies across locations, with certain stores consistently outperforming others in terms of revenue.</t>
  </si>
  <si>
    <t>Promotions contributed to increased sales volume but did not always result in higher profitability.</t>
  </si>
  <si>
    <t xml:space="preserve"> This project analyzes FMCG retail sales data across multiple stores in South Africa. The aim is to evaluate revenue trends, regional performance, product category profitability, and store-level performance to support data-driven decision-making.</t>
  </si>
  <si>
    <t>Recommendations</t>
  </si>
  <si>
    <t>Focus on expanding high-performing regions such as Gauteng to maximize revenue growth.</t>
  </si>
  <si>
    <t>Review pricing strategies and cost structures in lower-margin product categories to improve profitability.</t>
  </si>
  <si>
    <t>Investigate underperforming stores to identify operational or demand-related challenges.</t>
  </si>
  <si>
    <t>Optimize promotional strategies to ensure they drive both revenue and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</si>
</sst>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5" formatCode="0.0%"/>
  </numFmts>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center" indent="1"/>
    </xf>
    <xf numFmtId="0" fontId="1" fillId="0" borderId="0" xfId="0" applyFont="1" applyAlignment="1">
      <alignment vertical="center"/>
    </xf>
  </cellXfs>
  <cellStyles count="1">
    <cellStyle name="Normal" xfId="0" builtinId="0"/>
  </cellStyles>
  <dxfs count="4">
    <dxf>
      <numFmt numFmtId="165" formatCode="0.0%"/>
    </dxf>
    <dxf>
      <numFmt numFmtId="164" formatCode="&quot;R&quot;#,##0.00"/>
    </dxf>
    <dxf>
      <numFmt numFmtId="164" formatCode="&quot;R&quot;#,##0.00"/>
    </dxf>
    <dxf>
      <numFmt numFmtId="164" formatCode="&quot;R&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FMCG Sales Analysis 2025.xlsx]Pivot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c:f>
              <c:strCache>
                <c:ptCount val="1"/>
                <c:pt idx="0">
                  <c:v>Total</c:v>
                </c:pt>
              </c:strCache>
            </c:strRef>
          </c:tx>
          <c:spPr>
            <a:ln w="28575" cap="rnd">
              <a:solidFill>
                <a:schemeClr val="accent1"/>
              </a:solidFill>
              <a:round/>
            </a:ln>
            <a:effectLst/>
          </c:spPr>
          <c:marker>
            <c:symbol val="none"/>
          </c:marker>
          <c:cat>
            <c:strRef>
              <c:f>'Pivot Table'!$A$11:$A$17</c:f>
              <c:strCache>
                <c:ptCount val="6"/>
                <c:pt idx="0">
                  <c:v>Jan</c:v>
                </c:pt>
                <c:pt idx="1">
                  <c:v>Feb</c:v>
                </c:pt>
                <c:pt idx="2">
                  <c:v>Mar</c:v>
                </c:pt>
                <c:pt idx="3">
                  <c:v>Apr</c:v>
                </c:pt>
                <c:pt idx="4">
                  <c:v>May</c:v>
                </c:pt>
                <c:pt idx="5">
                  <c:v>Jun</c:v>
                </c:pt>
              </c:strCache>
            </c:strRef>
          </c:cat>
          <c:val>
            <c:numRef>
              <c:f>'Pivot Table'!$B$11:$B$17</c:f>
              <c:numCache>
                <c:formatCode>"R"#,##0.00</c:formatCode>
                <c:ptCount val="6"/>
                <c:pt idx="0">
                  <c:v>210357.99000000002</c:v>
                </c:pt>
                <c:pt idx="1">
                  <c:v>194086.84000000003</c:v>
                </c:pt>
                <c:pt idx="2">
                  <c:v>161145.84</c:v>
                </c:pt>
                <c:pt idx="3">
                  <c:v>166700.00999999998</c:v>
                </c:pt>
                <c:pt idx="4">
                  <c:v>237503.81</c:v>
                </c:pt>
                <c:pt idx="5">
                  <c:v>197837.50000000003</c:v>
                </c:pt>
              </c:numCache>
            </c:numRef>
          </c:val>
          <c:smooth val="0"/>
          <c:extLst>
            <c:ext xmlns:c16="http://schemas.microsoft.com/office/drawing/2014/chart" uri="{C3380CC4-5D6E-409C-BE32-E72D297353CC}">
              <c16:uniqueId val="{00000000-FFE4-43BC-844B-2A5EFD5F9809}"/>
            </c:ext>
          </c:extLst>
        </c:ser>
        <c:dLbls>
          <c:showLegendKey val="0"/>
          <c:showVal val="0"/>
          <c:showCatName val="0"/>
          <c:showSerName val="0"/>
          <c:showPercent val="0"/>
          <c:showBubbleSize val="0"/>
        </c:dLbls>
        <c:smooth val="0"/>
        <c:axId val="55769823"/>
        <c:axId val="55768383"/>
      </c:lineChart>
      <c:catAx>
        <c:axId val="5576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8383"/>
        <c:crosses val="autoZero"/>
        <c:auto val="1"/>
        <c:lblAlgn val="ctr"/>
        <c:lblOffset val="100"/>
        <c:noMultiLvlLbl val="0"/>
      </c:catAx>
      <c:valAx>
        <c:axId val="55768383"/>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FMCG Sales Analysis 2025.xlsx]Pivot Table!PivotTable6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Revenue by Province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Table'!$F$10</c:f>
              <c:strCache>
                <c:ptCount val="1"/>
                <c:pt idx="0">
                  <c:v>Total</c:v>
                </c:pt>
              </c:strCache>
            </c:strRef>
          </c:tx>
          <c:spPr>
            <a:solidFill>
              <a:schemeClr val="accent1"/>
            </a:solidFill>
            <a:ln>
              <a:noFill/>
            </a:ln>
            <a:effectLst/>
            <a:sp3d/>
          </c:spPr>
          <c:invertIfNegative val="0"/>
          <c:cat>
            <c:strRef>
              <c:f>'Pivot Table'!$E$11:$E$16</c:f>
              <c:strCache>
                <c:ptCount val="5"/>
                <c:pt idx="0">
                  <c:v>Eastern Cape</c:v>
                </c:pt>
                <c:pt idx="1">
                  <c:v>Limpopo</c:v>
                </c:pt>
                <c:pt idx="2">
                  <c:v>Western Cape</c:v>
                </c:pt>
                <c:pt idx="3">
                  <c:v>Gauteng</c:v>
                </c:pt>
                <c:pt idx="4">
                  <c:v>KwaZulu-Natal</c:v>
                </c:pt>
              </c:strCache>
            </c:strRef>
          </c:cat>
          <c:val>
            <c:numRef>
              <c:f>'Pivot Table'!$F$11:$F$16</c:f>
              <c:numCache>
                <c:formatCode>"R"#,##0.00</c:formatCode>
                <c:ptCount val="5"/>
                <c:pt idx="0">
                  <c:v>64960.639999999992</c:v>
                </c:pt>
                <c:pt idx="1">
                  <c:v>59505.19</c:v>
                </c:pt>
                <c:pt idx="2">
                  <c:v>55913.74</c:v>
                </c:pt>
                <c:pt idx="3">
                  <c:v>50810.240000000005</c:v>
                </c:pt>
                <c:pt idx="4">
                  <c:v>26948.050000000003</c:v>
                </c:pt>
              </c:numCache>
            </c:numRef>
          </c:val>
          <c:extLst>
            <c:ext xmlns:c16="http://schemas.microsoft.com/office/drawing/2014/chart" uri="{C3380CC4-5D6E-409C-BE32-E72D297353CC}">
              <c16:uniqueId val="{00000000-083A-410F-BEA6-6B4976F0B517}"/>
            </c:ext>
          </c:extLst>
        </c:ser>
        <c:dLbls>
          <c:showLegendKey val="0"/>
          <c:showVal val="0"/>
          <c:showCatName val="0"/>
          <c:showSerName val="0"/>
          <c:showPercent val="0"/>
          <c:showBubbleSize val="0"/>
        </c:dLbls>
        <c:gapWidth val="150"/>
        <c:shape val="box"/>
        <c:axId val="1272362799"/>
        <c:axId val="1272361359"/>
        <c:axId val="0"/>
      </c:bar3DChart>
      <c:catAx>
        <c:axId val="127236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61359"/>
        <c:crosses val="autoZero"/>
        <c:auto val="1"/>
        <c:lblAlgn val="ctr"/>
        <c:lblOffset val="100"/>
        <c:noMultiLvlLbl val="0"/>
      </c:catAx>
      <c:valAx>
        <c:axId val="127236135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6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FMCG Sales Analysis 2025.xlsx]Pivot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Revenue and Profit by Category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Table'!$J$10</c:f>
              <c:strCache>
                <c:ptCount val="1"/>
                <c:pt idx="0">
                  <c:v>Revenue   </c:v>
                </c:pt>
              </c:strCache>
            </c:strRef>
          </c:tx>
          <c:spPr>
            <a:solidFill>
              <a:schemeClr val="accent1"/>
            </a:solidFill>
            <a:ln>
              <a:noFill/>
            </a:ln>
            <a:effectLst/>
            <a:sp3d/>
          </c:spPr>
          <c:invertIfNegative val="0"/>
          <c:cat>
            <c:strRef>
              <c:f>'Pivot Table'!$I$11:$I$16</c:f>
              <c:strCache>
                <c:ptCount val="5"/>
                <c:pt idx="0">
                  <c:v>Fragrance</c:v>
                </c:pt>
                <c:pt idx="1">
                  <c:v>Haircare</c:v>
                </c:pt>
                <c:pt idx="2">
                  <c:v>Makeup</c:v>
                </c:pt>
                <c:pt idx="3">
                  <c:v>Skincare</c:v>
                </c:pt>
                <c:pt idx="4">
                  <c:v>Toiletries</c:v>
                </c:pt>
              </c:strCache>
            </c:strRef>
          </c:cat>
          <c:val>
            <c:numRef>
              <c:f>'Pivot Table'!$J$11:$J$16</c:f>
              <c:numCache>
                <c:formatCode>"R"#,##0.00</c:formatCode>
                <c:ptCount val="5"/>
                <c:pt idx="0">
                  <c:v>266459.20000000019</c:v>
                </c:pt>
                <c:pt idx="1">
                  <c:v>223269.57</c:v>
                </c:pt>
                <c:pt idx="2">
                  <c:v>218902.8</c:v>
                </c:pt>
                <c:pt idx="3">
                  <c:v>258137.86000000002</c:v>
                </c:pt>
                <c:pt idx="4">
                  <c:v>200862.56000000008</c:v>
                </c:pt>
              </c:numCache>
            </c:numRef>
          </c:val>
          <c:extLst>
            <c:ext xmlns:c16="http://schemas.microsoft.com/office/drawing/2014/chart" uri="{C3380CC4-5D6E-409C-BE32-E72D297353CC}">
              <c16:uniqueId val="{00000000-BFE1-4420-83F5-D67EEBF1DD02}"/>
            </c:ext>
          </c:extLst>
        </c:ser>
        <c:ser>
          <c:idx val="1"/>
          <c:order val="1"/>
          <c:tx>
            <c:strRef>
              <c:f>'Pivot Table'!$K$10</c:f>
              <c:strCache>
                <c:ptCount val="1"/>
                <c:pt idx="0">
                  <c:v>Profit </c:v>
                </c:pt>
              </c:strCache>
            </c:strRef>
          </c:tx>
          <c:spPr>
            <a:solidFill>
              <a:schemeClr val="accent2"/>
            </a:solidFill>
            <a:ln>
              <a:noFill/>
            </a:ln>
            <a:effectLst/>
            <a:sp3d/>
          </c:spPr>
          <c:invertIfNegative val="0"/>
          <c:cat>
            <c:strRef>
              <c:f>'Pivot Table'!$I$11:$I$16</c:f>
              <c:strCache>
                <c:ptCount val="5"/>
                <c:pt idx="0">
                  <c:v>Fragrance</c:v>
                </c:pt>
                <c:pt idx="1">
                  <c:v>Haircare</c:v>
                </c:pt>
                <c:pt idx="2">
                  <c:v>Makeup</c:v>
                </c:pt>
                <c:pt idx="3">
                  <c:v>Skincare</c:v>
                </c:pt>
                <c:pt idx="4">
                  <c:v>Toiletries</c:v>
                </c:pt>
              </c:strCache>
            </c:strRef>
          </c:cat>
          <c:val>
            <c:numRef>
              <c:f>'Pivot Table'!$K$11:$K$16</c:f>
              <c:numCache>
                <c:formatCode>"R"#,##0.00</c:formatCode>
                <c:ptCount val="5"/>
                <c:pt idx="0">
                  <c:v>97818.840000000026</c:v>
                </c:pt>
                <c:pt idx="1">
                  <c:v>74813.429999999993</c:v>
                </c:pt>
                <c:pt idx="2">
                  <c:v>72922.959999999992</c:v>
                </c:pt>
                <c:pt idx="3">
                  <c:v>92724.62000000001</c:v>
                </c:pt>
                <c:pt idx="4">
                  <c:v>68919.270000000019</c:v>
                </c:pt>
              </c:numCache>
            </c:numRef>
          </c:val>
          <c:extLst>
            <c:ext xmlns:c16="http://schemas.microsoft.com/office/drawing/2014/chart" uri="{C3380CC4-5D6E-409C-BE32-E72D297353CC}">
              <c16:uniqueId val="{00000001-BFE1-4420-83F5-D67EEBF1DD02}"/>
            </c:ext>
          </c:extLst>
        </c:ser>
        <c:dLbls>
          <c:showLegendKey val="0"/>
          <c:showVal val="0"/>
          <c:showCatName val="0"/>
          <c:showSerName val="0"/>
          <c:showPercent val="0"/>
          <c:showBubbleSize val="0"/>
        </c:dLbls>
        <c:gapWidth val="150"/>
        <c:shape val="box"/>
        <c:axId val="1465586991"/>
        <c:axId val="1465588911"/>
        <c:axId val="0"/>
      </c:bar3DChart>
      <c:catAx>
        <c:axId val="146558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88911"/>
        <c:crosses val="autoZero"/>
        <c:auto val="1"/>
        <c:lblAlgn val="ctr"/>
        <c:lblOffset val="100"/>
        <c:noMultiLvlLbl val="0"/>
      </c:catAx>
      <c:valAx>
        <c:axId val="1465588911"/>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8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FMCG Sales Analysis 2025.xlsx]Pivot Table!PivotTable8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Store Performance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Table'!$B$25</c:f>
              <c:strCache>
                <c:ptCount val="1"/>
                <c:pt idx="0">
                  <c:v>Total</c:v>
                </c:pt>
              </c:strCache>
            </c:strRef>
          </c:tx>
          <c:spPr>
            <a:solidFill>
              <a:schemeClr val="accent1"/>
            </a:solidFill>
            <a:ln>
              <a:noFill/>
            </a:ln>
            <a:effectLst/>
            <a:sp3d/>
          </c:spPr>
          <c:invertIfNegative val="0"/>
          <c:cat>
            <c:strRef>
              <c:f>'Pivot Table'!$A$26:$A$35</c:f>
              <c:strCache>
                <c:ptCount val="9"/>
                <c:pt idx="0">
                  <c:v>Polokwane Store</c:v>
                </c:pt>
                <c:pt idx="1">
                  <c:v>Pietermaritzburg Store</c:v>
                </c:pt>
                <c:pt idx="2">
                  <c:v>Stellenbosch Store</c:v>
                </c:pt>
                <c:pt idx="3">
                  <c:v>Cape Town Store</c:v>
                </c:pt>
                <c:pt idx="4">
                  <c:v>Port Elizabeth Store</c:v>
                </c:pt>
                <c:pt idx="5">
                  <c:v>East London Store</c:v>
                </c:pt>
                <c:pt idx="6">
                  <c:v>Pretoria Store</c:v>
                </c:pt>
                <c:pt idx="7">
                  <c:v>Johannesburg Store</c:v>
                </c:pt>
                <c:pt idx="8">
                  <c:v>Durban Store</c:v>
                </c:pt>
              </c:strCache>
            </c:strRef>
          </c:cat>
          <c:val>
            <c:numRef>
              <c:f>'Pivot Table'!$B$26:$B$35</c:f>
              <c:numCache>
                <c:formatCode>"R"#,##0.00</c:formatCode>
                <c:ptCount val="9"/>
                <c:pt idx="0">
                  <c:v>243569.27000000002</c:v>
                </c:pt>
                <c:pt idx="1">
                  <c:v>147258.29000000004</c:v>
                </c:pt>
                <c:pt idx="2">
                  <c:v>141115.72</c:v>
                </c:pt>
                <c:pt idx="3">
                  <c:v>133592.15000000002</c:v>
                </c:pt>
                <c:pt idx="4">
                  <c:v>122756.47999999998</c:v>
                </c:pt>
                <c:pt idx="5">
                  <c:v>119278.72</c:v>
                </c:pt>
                <c:pt idx="6">
                  <c:v>102477.22999999998</c:v>
                </c:pt>
                <c:pt idx="7">
                  <c:v>96453.680000000022</c:v>
                </c:pt>
                <c:pt idx="8">
                  <c:v>61130.45</c:v>
                </c:pt>
              </c:numCache>
            </c:numRef>
          </c:val>
          <c:extLst>
            <c:ext xmlns:c16="http://schemas.microsoft.com/office/drawing/2014/chart" uri="{C3380CC4-5D6E-409C-BE32-E72D297353CC}">
              <c16:uniqueId val="{00000000-9E70-4E81-B8B7-312E20480E1B}"/>
            </c:ext>
          </c:extLst>
        </c:ser>
        <c:dLbls>
          <c:showLegendKey val="0"/>
          <c:showVal val="0"/>
          <c:showCatName val="0"/>
          <c:showSerName val="0"/>
          <c:showPercent val="0"/>
          <c:showBubbleSize val="0"/>
        </c:dLbls>
        <c:gapWidth val="150"/>
        <c:shape val="box"/>
        <c:axId val="163999439"/>
        <c:axId val="163996079"/>
        <c:axId val="0"/>
      </c:bar3DChart>
      <c:catAx>
        <c:axId val="16399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6079"/>
        <c:crosses val="autoZero"/>
        <c:auto val="1"/>
        <c:lblAlgn val="ctr"/>
        <c:lblOffset val="100"/>
        <c:noMultiLvlLbl val="0"/>
      </c:catAx>
      <c:valAx>
        <c:axId val="163996079"/>
        <c:scaling>
          <c:orientation val="minMax"/>
        </c:scaling>
        <c:delete val="0"/>
        <c:axPos val="b"/>
        <c:majorGridlines>
          <c:spPr>
            <a:ln w="9525" cap="flat" cmpd="sng" algn="ctr">
              <a:solidFill>
                <a:schemeClr val="tx1">
                  <a:lumMod val="15000"/>
                  <a:lumOff val="85000"/>
                </a:schemeClr>
              </a:solidFill>
              <a:round/>
            </a:ln>
            <a:effectLst/>
          </c:spPr>
        </c:majorGridlines>
        <c:numFmt formatCode="&quot;R&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14</xdr:row>
      <xdr:rowOff>19050</xdr:rowOff>
    </xdr:from>
    <xdr:to>
      <xdr:col>7</xdr:col>
      <xdr:colOff>374650</xdr:colOff>
      <xdr:row>29</xdr:row>
      <xdr:rowOff>127000</xdr:rowOff>
    </xdr:to>
    <xdr:graphicFrame macro="">
      <xdr:nvGraphicFramePr>
        <xdr:cNvPr id="2" name="Chart 1">
          <a:extLst>
            <a:ext uri="{FF2B5EF4-FFF2-40B4-BE49-F238E27FC236}">
              <a16:creationId xmlns:a16="http://schemas.microsoft.com/office/drawing/2014/main" id="{26E7E649-01E9-4AD3-84F0-87FBD050C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14</xdr:row>
      <xdr:rowOff>25400</xdr:rowOff>
    </xdr:from>
    <xdr:to>
      <xdr:col>15</xdr:col>
      <xdr:colOff>190500</xdr:colOff>
      <xdr:row>29</xdr:row>
      <xdr:rowOff>127000</xdr:rowOff>
    </xdr:to>
    <xdr:graphicFrame macro="">
      <xdr:nvGraphicFramePr>
        <xdr:cNvPr id="8" name="Chart 7">
          <a:extLst>
            <a:ext uri="{FF2B5EF4-FFF2-40B4-BE49-F238E27FC236}">
              <a16:creationId xmlns:a16="http://schemas.microsoft.com/office/drawing/2014/main" id="{047423CD-148B-43DE-AF0B-4656A458D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30</xdr:row>
      <xdr:rowOff>19050</xdr:rowOff>
    </xdr:from>
    <xdr:to>
      <xdr:col>7</xdr:col>
      <xdr:colOff>387350</xdr:colOff>
      <xdr:row>46</xdr:row>
      <xdr:rowOff>0</xdr:rowOff>
    </xdr:to>
    <xdr:graphicFrame macro="">
      <xdr:nvGraphicFramePr>
        <xdr:cNvPr id="11" name="Chart 10">
          <a:extLst>
            <a:ext uri="{FF2B5EF4-FFF2-40B4-BE49-F238E27FC236}">
              <a16:creationId xmlns:a16="http://schemas.microsoft.com/office/drawing/2014/main" id="{1B309A50-63EB-430A-8E5F-DB8A190DE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450850</xdr:colOff>
      <xdr:row>30</xdr:row>
      <xdr:rowOff>19050</xdr:rowOff>
    </xdr:from>
    <xdr:to>
      <xdr:col>15</xdr:col>
      <xdr:colOff>196850</xdr:colOff>
      <xdr:row>45</xdr:row>
      <xdr:rowOff>177800</xdr:rowOff>
    </xdr:to>
    <xdr:graphicFrame macro="">
      <xdr:nvGraphicFramePr>
        <xdr:cNvPr id="12" name="Chart 11">
          <a:extLst>
            <a:ext uri="{FF2B5EF4-FFF2-40B4-BE49-F238E27FC236}">
              <a16:creationId xmlns:a16="http://schemas.microsoft.com/office/drawing/2014/main" id="{CA9567C1-CE35-40AC-A794-3CD3CBE20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4</xdr:row>
      <xdr:rowOff>25401</xdr:rowOff>
    </xdr:from>
    <xdr:to>
      <xdr:col>3</xdr:col>
      <xdr:colOff>19050</xdr:colOff>
      <xdr:row>13</xdr:row>
      <xdr:rowOff>57150</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E62DA8B9-1C20-43B3-AA61-E5960701A7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 y="739776"/>
              <a:ext cx="1814513" cy="167481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260350</xdr:colOff>
      <xdr:row>4</xdr:row>
      <xdr:rowOff>25400</xdr:rowOff>
    </xdr:from>
    <xdr:to>
      <xdr:col>12</xdr:col>
      <xdr:colOff>317500</xdr:colOff>
      <xdr:row>13</xdr:row>
      <xdr:rowOff>63500</xdr:rowOff>
    </xdr:to>
    <mc:AlternateContent xmlns:mc="http://schemas.openxmlformats.org/markup-compatibility/2006" xmlns:a14="http://schemas.microsoft.com/office/drawing/2010/main">
      <mc:Choice Requires="a14">
        <xdr:graphicFrame macro="">
          <xdr:nvGraphicFramePr>
            <xdr:cNvPr id="14" name="Promotion">
              <a:extLst>
                <a:ext uri="{FF2B5EF4-FFF2-40B4-BE49-F238E27FC236}">
                  <a16:creationId xmlns:a16="http://schemas.microsoft.com/office/drawing/2014/main" id="{012E3A00-7D4F-4316-9396-FEBE20070E7E}"/>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5746750" y="749300"/>
              <a:ext cx="1885950" cy="16255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198966</xdr:colOff>
      <xdr:row>4</xdr:row>
      <xdr:rowOff>25401</xdr:rowOff>
    </xdr:from>
    <xdr:to>
      <xdr:col>9</xdr:col>
      <xdr:colOff>173566</xdr:colOff>
      <xdr:row>13</xdr:row>
      <xdr:rowOff>63501</xdr:rowOff>
    </xdr:to>
    <mc:AlternateContent xmlns:mc="http://schemas.openxmlformats.org/markup-compatibility/2006" xmlns:a14="http://schemas.microsoft.com/office/drawing/2010/main">
      <mc:Choice Requires="a14">
        <xdr:graphicFrame macro="">
          <xdr:nvGraphicFramePr>
            <xdr:cNvPr id="15" name="Product_Category">
              <a:extLst>
                <a:ext uri="{FF2B5EF4-FFF2-40B4-BE49-F238E27FC236}">
                  <a16:creationId xmlns:a16="http://schemas.microsoft.com/office/drawing/2014/main" id="{FDB47E0A-5277-401D-A522-D57173A6ABD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866091" y="739776"/>
              <a:ext cx="1808163" cy="168116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105833</xdr:colOff>
      <xdr:row>4</xdr:row>
      <xdr:rowOff>25401</xdr:rowOff>
    </xdr:from>
    <xdr:to>
      <xdr:col>6</xdr:col>
      <xdr:colOff>112183</xdr:colOff>
      <xdr:row>13</xdr:row>
      <xdr:rowOff>50801</xdr:rowOff>
    </xdr:to>
    <mc:AlternateContent xmlns:mc="http://schemas.openxmlformats.org/markup-compatibility/2006" xmlns:a14="http://schemas.microsoft.com/office/drawing/2010/main">
      <mc:Choice Requires="a14">
        <xdr:graphicFrame macro="">
          <xdr:nvGraphicFramePr>
            <xdr:cNvPr id="16" name="Province">
              <a:extLst>
                <a:ext uri="{FF2B5EF4-FFF2-40B4-BE49-F238E27FC236}">
                  <a16:creationId xmlns:a16="http://schemas.microsoft.com/office/drawing/2014/main" id="{286F2687-578C-4A83-828C-ACE44FDBC803}"/>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934633" y="749301"/>
              <a:ext cx="1835150" cy="16827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374650</xdr:colOff>
      <xdr:row>0</xdr:row>
      <xdr:rowOff>139700</xdr:rowOff>
    </xdr:from>
    <xdr:ext cx="184731" cy="264560"/>
    <xdr:sp macro="" textlink="">
      <xdr:nvSpPr>
        <xdr:cNvPr id="17" name="TextBox 16">
          <a:extLst>
            <a:ext uri="{FF2B5EF4-FFF2-40B4-BE49-F238E27FC236}">
              <a16:creationId xmlns:a16="http://schemas.microsoft.com/office/drawing/2014/main" id="{89A02384-DBCC-719A-1C6E-E935CB7BCD1A}"/>
            </a:ext>
          </a:extLst>
        </xdr:cNvPr>
        <xdr:cNvSpPr txBox="1"/>
      </xdr:nvSpPr>
      <xdr:spPr>
        <a:xfrm>
          <a:off x="374650" y="13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A" sz="1100"/>
        </a:p>
      </xdr:txBody>
    </xdr:sp>
    <xdr:clientData/>
  </xdr:oneCellAnchor>
  <xdr:twoCellAnchor>
    <xdr:from>
      <xdr:col>1</xdr:col>
      <xdr:colOff>0</xdr:colOff>
      <xdr:row>0</xdr:row>
      <xdr:rowOff>0</xdr:rowOff>
    </xdr:from>
    <xdr:to>
      <xdr:col>5</xdr:col>
      <xdr:colOff>520700</xdr:colOff>
      <xdr:row>2</xdr:row>
      <xdr:rowOff>139700</xdr:rowOff>
    </xdr:to>
    <xdr:sp macro="" textlink="">
      <xdr:nvSpPr>
        <xdr:cNvPr id="3073" name="Text Box 1">
          <a:extLst>
            <a:ext uri="{FF2B5EF4-FFF2-40B4-BE49-F238E27FC236}">
              <a16:creationId xmlns:a16="http://schemas.microsoft.com/office/drawing/2014/main" id="{33572865-8625-2C37-670F-D78FDC8F37B5}"/>
            </a:ext>
          </a:extLst>
        </xdr:cNvPr>
        <xdr:cNvSpPr txBox="1">
          <a:spLocks noChangeArrowheads="1"/>
        </xdr:cNvSpPr>
      </xdr:nvSpPr>
      <xdr:spPr bwMode="auto">
        <a:xfrm>
          <a:off x="606778" y="0"/>
          <a:ext cx="2947811" cy="499533"/>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ZA" sz="1600" b="0" i="0" u="none" strike="noStrike" baseline="0">
              <a:solidFill>
                <a:srgbClr val="000000"/>
              </a:solidFill>
              <a:latin typeface="+mn-lt"/>
              <a:ea typeface="Calibri"/>
              <a:cs typeface="Segoe UI" panose="020B0502040204020203" pitchFamily="34" charset="0"/>
            </a:rPr>
            <a:t>Retail &amp; FMCG Sales Dashboard</a:t>
          </a:r>
        </a:p>
        <a:p>
          <a:pPr algn="l" rtl="0">
            <a:defRPr sz="1000"/>
          </a:pPr>
          <a:r>
            <a:rPr lang="en-ZA" sz="1200">
              <a:latin typeface="+mn-lt"/>
              <a:ea typeface="Calibri Light" panose="020F0302020204030204" pitchFamily="34" charset="0"/>
              <a:cs typeface="Calibri Light" panose="020F0302020204030204" pitchFamily="34" charset="0"/>
            </a:rPr>
            <a:t>South Africa | Jan–Jun 2025</a:t>
          </a:r>
          <a:endParaRPr lang="en-ZA" sz="1200" b="0" i="0" u="none" strike="noStrike" baseline="0">
            <a:solidFill>
              <a:srgbClr val="000000"/>
            </a:solidFill>
            <a:latin typeface="+mn-lt"/>
            <a:ea typeface="Calibri Light" panose="020F0302020204030204" pitchFamily="34" charset="0"/>
            <a:cs typeface="Calibri Light" panose="020F03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ipone Mosoeunyane" refreshedDate="46134.487286342592" createdVersion="8" refreshedVersion="8" minRefreshableVersion="3" recordCount="200" xr:uid="{622B45C3-F16C-47B0-8C05-2891E105F31B}">
  <cacheSource type="worksheet">
    <worksheetSource name="Table1"/>
  </cacheSource>
  <cacheFields count="20">
    <cacheField name="Order_ID" numFmtId="0">
      <sharedItems/>
    </cacheField>
    <cacheField name="Order_Date" numFmtId="0">
      <sharedItems/>
    </cacheField>
    <cacheField name="Province" numFmtId="0">
      <sharedItems count="5">
        <s v="Western Cape"/>
        <s v="Limpopo"/>
        <s v="Eastern Cape"/>
        <s v="Gauteng"/>
        <s v="KwaZulu-Natal"/>
      </sharedItems>
    </cacheField>
    <cacheField name="City" numFmtId="0">
      <sharedItems/>
    </cacheField>
    <cacheField name="Store_Name" numFmtId="0">
      <sharedItems count="9">
        <s v="Stellenbosch Store"/>
        <s v="Cape Town Store"/>
        <s v="Polokwane Store"/>
        <s v="Port Elizabeth Store"/>
        <s v="Johannesburg Store"/>
        <s v="Pietermaritzburg Store"/>
        <s v="East London Store"/>
        <s v="Durban Store"/>
        <s v="Pretoria Store"/>
      </sharedItems>
    </cacheField>
    <cacheField name="Product_Category" numFmtId="0">
      <sharedItems count="5">
        <s v="Fragrance"/>
        <s v="Skincare"/>
        <s v="Haircare"/>
        <s v="Makeup"/>
        <s v="Toiletries"/>
      </sharedItems>
    </cacheField>
    <cacheField name="Product_Name" numFmtId="0">
      <sharedItems/>
    </cacheField>
    <cacheField name="Brand" numFmtId="0">
      <sharedItems/>
    </cacheField>
    <cacheField name="Units_Sold" numFmtId="0">
      <sharedItems containsSemiMixedTypes="0" containsString="0" containsNumber="1" containsInteger="1" minValue="5" maxValue="50"/>
    </cacheField>
    <cacheField name="Unit_Price" numFmtId="0">
      <sharedItems containsSemiMixedTypes="0" containsString="0" containsNumber="1" minValue="25.36" maxValue="397.78"/>
    </cacheField>
    <cacheField name="Cost_Price" numFmtId="0">
      <sharedItems containsSemiMixedTypes="0" containsString="0" containsNumber="1" minValue="13.46" maxValue="307.19"/>
    </cacheField>
    <cacheField name="Promotion" numFmtId="0">
      <sharedItems count="2">
        <s v="Yes"/>
        <s v="No"/>
      </sharedItems>
    </cacheField>
    <cacheField name="Payment_Method" numFmtId="0">
      <sharedItems/>
    </cacheField>
    <cacheField name="Stock_Availability" numFmtId="0">
      <sharedItems/>
    </cacheField>
    <cacheField name="Revenue" numFmtId="164">
      <sharedItems containsSemiMixedTypes="0" containsString="0" containsNumber="1" minValue="380.4" maxValue="19007.5"/>
    </cacheField>
    <cacheField name="Total_Cost" numFmtId="164">
      <sharedItems containsSemiMixedTypes="0" containsString="0" containsNumber="1" minValue="201.9" maxValue="13823.55"/>
    </cacheField>
    <cacheField name="Profit" numFmtId="164">
      <sharedItems containsSemiMixedTypes="0" containsString="0" containsNumber="1" minValue="89.519999999999982" maxValue="6866.2400000000016"/>
    </cacheField>
    <cacheField name="Month" numFmtId="0">
      <sharedItems count="6">
        <s v="Apr"/>
        <s v="Feb"/>
        <s v="Jan"/>
        <s v="May"/>
        <s v="Mar"/>
        <s v="Jun"/>
      </sharedItems>
    </cacheField>
    <cacheField name="Year" numFmtId="0">
      <sharedItems containsSemiMixedTypes="0" containsString="0" containsNumber="1" containsInteger="1" minValue="2025" maxValue="2025"/>
    </cacheField>
    <cacheField name="Gross_Margin_%" numFmtId="165">
      <sharedItems containsSemiMixedTypes="0" containsString="0" containsNumber="1" minValue="0.20033717336330439" maxValue="0.49924493140121462"/>
    </cacheField>
  </cacheFields>
  <extLst>
    <ext xmlns:x14="http://schemas.microsoft.com/office/spreadsheetml/2009/9/main" uri="{725AE2AE-9491-48be-B2B4-4EB974FC3084}">
      <x14:pivotCacheDefinition pivotCacheId="1360090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s v="2025-04-04"/>
    <x v="0"/>
    <s v="Stellenbosch"/>
    <x v="0"/>
    <x v="0"/>
    <s v="Revlon Perfume"/>
    <s v="Revlon"/>
    <n v="17"/>
    <n v="312.77"/>
    <n v="190.68"/>
    <x v="0"/>
    <s v="Card"/>
    <s v="In Stock"/>
    <n v="5317.09"/>
    <n v="3241.56"/>
    <n v="2075.5300000000002"/>
    <x v="0"/>
    <n v="2025"/>
    <n v="0.39035073696326378"/>
  </r>
  <r>
    <s v="ORD1002"/>
    <s v="2025-02-28"/>
    <x v="0"/>
    <s v="Cape Town"/>
    <x v="1"/>
    <x v="1"/>
    <s v="Dove Body Cream"/>
    <s v="Dove"/>
    <n v="8"/>
    <n v="207.68"/>
    <n v="126.9"/>
    <x v="0"/>
    <s v="Cash"/>
    <s v="Low Stock"/>
    <n v="1661.44"/>
    <n v="1015.2"/>
    <n v="646.24"/>
    <x v="1"/>
    <n v="2025"/>
    <n v="0.38896379044684132"/>
  </r>
  <r>
    <s v="ORD1003"/>
    <s v="2025-01-28"/>
    <x v="1"/>
    <s v="Polokwane"/>
    <x v="2"/>
    <x v="2"/>
    <s v="Garnier Conditioner"/>
    <s v="Garnier"/>
    <n v="16"/>
    <n v="74.86"/>
    <n v="52.7"/>
    <x v="0"/>
    <s v="Card"/>
    <s v="Low Stock"/>
    <n v="1197.76"/>
    <n v="843.2"/>
    <n v="354.55999999999989"/>
    <x v="2"/>
    <n v="2025"/>
    <n v="0.29601923590702639"/>
  </r>
  <r>
    <s v="ORD1004"/>
    <s v="2025-04-29"/>
    <x v="1"/>
    <s v="Polokwane"/>
    <x v="2"/>
    <x v="2"/>
    <s v="Dove Shampoo"/>
    <s v="Dove"/>
    <n v="9"/>
    <n v="84.25"/>
    <n v="64.2"/>
    <x v="0"/>
    <s v="Cash"/>
    <s v="In Stock"/>
    <n v="758.25"/>
    <n v="577.80000000000007"/>
    <n v="180.4499999999999"/>
    <x v="0"/>
    <n v="2025"/>
    <n v="0.23798219584569719"/>
  </r>
  <r>
    <s v="ORD1005"/>
    <s v="2025-04-03"/>
    <x v="0"/>
    <s v="Stellenbosch"/>
    <x v="0"/>
    <x v="0"/>
    <s v="CK Perfume"/>
    <s v="CK"/>
    <n v="5"/>
    <n v="96.25"/>
    <n v="68.87"/>
    <x v="1"/>
    <s v="Cash"/>
    <s v="Low Stock"/>
    <n v="481.25"/>
    <n v="344.35"/>
    <n v="136.9"/>
    <x v="0"/>
    <n v="2025"/>
    <n v="0.28446753246753242"/>
  </r>
  <r>
    <s v="ORD1006"/>
    <s v="2025-05-23"/>
    <x v="0"/>
    <s v="Stellenbosch"/>
    <x v="0"/>
    <x v="2"/>
    <s v="Garnier Conditioner"/>
    <s v="Garnier"/>
    <n v="28"/>
    <n v="299.16000000000003"/>
    <n v="150.37"/>
    <x v="1"/>
    <s v="Cash"/>
    <s v="Low Stock"/>
    <n v="8376.4800000000014"/>
    <n v="4210.3600000000006"/>
    <n v="4166.1200000000008"/>
    <x v="3"/>
    <n v="2025"/>
    <n v="0.49735927263003082"/>
  </r>
  <r>
    <s v="ORD1007"/>
    <s v="2025-01-22"/>
    <x v="2"/>
    <s v="Port Elizabeth"/>
    <x v="3"/>
    <x v="3"/>
    <s v="MAC Lipstick"/>
    <s v="MAC"/>
    <n v="19"/>
    <n v="93.39"/>
    <n v="66.430000000000007"/>
    <x v="1"/>
    <s v="Cash"/>
    <s v="Out of Stock"/>
    <n v="1774.41"/>
    <n v="1262.17"/>
    <n v="512.24"/>
    <x v="2"/>
    <n v="2025"/>
    <n v="0.28868187172074089"/>
  </r>
  <r>
    <s v="ORD1008"/>
    <s v="2025-01-05"/>
    <x v="3"/>
    <s v="Johannesburg"/>
    <x v="4"/>
    <x v="3"/>
    <s v="MAC Lipstick"/>
    <s v="MAC"/>
    <n v="22"/>
    <n v="248.22"/>
    <n v="181.22"/>
    <x v="1"/>
    <s v="Cash"/>
    <s v="Low Stock"/>
    <n v="5460.84"/>
    <n v="3986.84"/>
    <n v="1474"/>
    <x v="2"/>
    <n v="2025"/>
    <n v="0.26992184352590443"/>
  </r>
  <r>
    <s v="ORD1009"/>
    <s v="2025-03-03"/>
    <x v="1"/>
    <s v="Polokwane"/>
    <x v="2"/>
    <x v="0"/>
    <s v="Revlon Perfume"/>
    <s v="Revlon"/>
    <n v="39"/>
    <n v="164.75"/>
    <n v="127.17"/>
    <x v="0"/>
    <s v="Cash"/>
    <s v="In Stock"/>
    <n v="6425.25"/>
    <n v="4959.63"/>
    <n v="1465.62"/>
    <x v="4"/>
    <n v="2025"/>
    <n v="0.228103186646434"/>
  </r>
  <r>
    <s v="ORD1010"/>
    <s v="2025-06-07"/>
    <x v="1"/>
    <s v="Polokwane"/>
    <x v="2"/>
    <x v="1"/>
    <s v="Nivea Body Lotion"/>
    <s v="Nivea"/>
    <n v="18"/>
    <n v="118.87"/>
    <n v="71.94"/>
    <x v="0"/>
    <s v="Cash"/>
    <s v="In Stock"/>
    <n v="2139.66"/>
    <n v="1294.92"/>
    <n v="844.73999999999978"/>
    <x v="5"/>
    <n v="2025"/>
    <n v="0.39480104315638931"/>
  </r>
  <r>
    <s v="ORD1011"/>
    <s v="2025-06-02"/>
    <x v="4"/>
    <s v="Pietermaritzburg"/>
    <x v="5"/>
    <x v="0"/>
    <s v="Revlon Perfume"/>
    <s v="Revlon"/>
    <n v="23"/>
    <n v="377.4"/>
    <n v="283.89999999999998"/>
    <x v="0"/>
    <s v="Cash"/>
    <s v="Low Stock"/>
    <n v="8680.1999999999989"/>
    <n v="6529.7"/>
    <n v="2150.4999999999991"/>
    <x v="5"/>
    <n v="2025"/>
    <n v="0.24774774774774769"/>
  </r>
  <r>
    <s v="ORD1012"/>
    <s v="2025-04-11"/>
    <x v="2"/>
    <s v="East London"/>
    <x v="6"/>
    <x v="0"/>
    <s v="Revlon Perfume"/>
    <s v="Revlon"/>
    <n v="39"/>
    <n v="394.34"/>
    <n v="269.56"/>
    <x v="0"/>
    <s v="Cash"/>
    <s v="Out of Stock"/>
    <n v="15379.26"/>
    <n v="10512.84"/>
    <n v="4866.4199999999983"/>
    <x v="0"/>
    <n v="2025"/>
    <n v="0.31642744839478609"/>
  </r>
  <r>
    <s v="ORD1013"/>
    <s v="2025-06-23"/>
    <x v="1"/>
    <s v="Polokwane"/>
    <x v="2"/>
    <x v="4"/>
    <s v="Colgate Toothpaste"/>
    <s v="Colgate"/>
    <n v="18"/>
    <n v="315.85000000000002"/>
    <n v="169.06"/>
    <x v="1"/>
    <s v="Card"/>
    <s v="Low Stock"/>
    <n v="5685.3"/>
    <n v="3043.08"/>
    <n v="2642.22"/>
    <x v="5"/>
    <n v="2025"/>
    <n v="0.46474592369795792"/>
  </r>
  <r>
    <s v="ORD1014"/>
    <s v="2025-06-26"/>
    <x v="4"/>
    <s v="Pietermaritzburg"/>
    <x v="5"/>
    <x v="3"/>
    <s v="MAC Lipstick"/>
    <s v="MAC"/>
    <n v="50"/>
    <n v="380.15"/>
    <n v="271.01"/>
    <x v="0"/>
    <s v="Card"/>
    <s v="Low Stock"/>
    <n v="19007.5"/>
    <n v="13550.5"/>
    <n v="5457"/>
    <x v="5"/>
    <n v="2025"/>
    <n v="0.28709719847428639"/>
  </r>
  <r>
    <s v="ORD1015"/>
    <s v="2025-04-23"/>
    <x v="1"/>
    <s v="Polokwane"/>
    <x v="2"/>
    <x v="4"/>
    <s v="Dettol Soap"/>
    <s v="Dettol"/>
    <n v="10"/>
    <n v="218.08"/>
    <n v="132.19"/>
    <x v="1"/>
    <s v="Cash"/>
    <s v="In Stock"/>
    <n v="2180.8000000000002"/>
    <n v="1321.9"/>
    <n v="858.90000000000009"/>
    <x v="0"/>
    <n v="2025"/>
    <n v="0.39384629493763762"/>
  </r>
  <r>
    <s v="ORD1016"/>
    <s v="2025-04-08"/>
    <x v="4"/>
    <s v="Pietermaritzburg"/>
    <x v="5"/>
    <x v="2"/>
    <s v="Garnier Conditioner"/>
    <s v="Garnier"/>
    <n v="44"/>
    <n v="307.26"/>
    <n v="199.18"/>
    <x v="1"/>
    <s v="Card"/>
    <s v="In Stock"/>
    <n v="13519.44"/>
    <n v="8763.92"/>
    <n v="4755.5199999999986"/>
    <x v="0"/>
    <n v="2025"/>
    <n v="0.35175421467161361"/>
  </r>
  <r>
    <s v="ORD1017"/>
    <s v="2025-02-02"/>
    <x v="0"/>
    <s v="Cape Town"/>
    <x v="1"/>
    <x v="3"/>
    <s v="Maybelline Mascara"/>
    <s v="Maybelline"/>
    <n v="50"/>
    <n v="190.26"/>
    <n v="101.79"/>
    <x v="0"/>
    <s v="Card"/>
    <s v="Low Stock"/>
    <n v="9513"/>
    <n v="5089.5"/>
    <n v="4423.5"/>
    <x v="1"/>
    <n v="2025"/>
    <n v="0.46499526963103122"/>
  </r>
  <r>
    <s v="ORD1018"/>
    <s v="2025-05-12"/>
    <x v="4"/>
    <s v="Durban"/>
    <x v="7"/>
    <x v="4"/>
    <s v="Colgate Toothpaste"/>
    <s v="Colgate"/>
    <n v="20"/>
    <n v="90.94"/>
    <n v="47.17"/>
    <x v="0"/>
    <s v="Card"/>
    <s v="Low Stock"/>
    <n v="1818.8"/>
    <n v="943.40000000000009"/>
    <n v="875.39999999999986"/>
    <x v="3"/>
    <n v="2025"/>
    <n v="0.48130635583901471"/>
  </r>
  <r>
    <s v="ORD1019"/>
    <s v="2025-05-13"/>
    <x v="1"/>
    <s v="Polokwane"/>
    <x v="2"/>
    <x v="4"/>
    <s v="Dettol Soap"/>
    <s v="Dettol"/>
    <n v="20"/>
    <n v="193.09"/>
    <n v="128.15"/>
    <x v="0"/>
    <s v="Card"/>
    <s v="In Stock"/>
    <n v="3861.8"/>
    <n v="2563"/>
    <n v="1298.8"/>
    <x v="3"/>
    <n v="2025"/>
    <n v="0.33631985084675542"/>
  </r>
  <r>
    <s v="ORD1020"/>
    <s v="2025-02-20"/>
    <x v="3"/>
    <s v="Pretoria"/>
    <x v="8"/>
    <x v="2"/>
    <s v="Dove Shampoo"/>
    <s v="Dove"/>
    <n v="40"/>
    <n v="33.92"/>
    <n v="22.16"/>
    <x v="1"/>
    <s v="Cash"/>
    <s v="In Stock"/>
    <n v="1356.8"/>
    <n v="886.4"/>
    <n v="470.4000000000002"/>
    <x v="1"/>
    <n v="2025"/>
    <n v="0.34669811320754729"/>
  </r>
  <r>
    <s v="ORD1021"/>
    <s v="2025-03-20"/>
    <x v="0"/>
    <s v="Cape Town"/>
    <x v="1"/>
    <x v="1"/>
    <s v="Dove Body Cream"/>
    <s v="Dove"/>
    <n v="38"/>
    <n v="163.96"/>
    <n v="91.53"/>
    <x v="0"/>
    <s v="Card"/>
    <s v="In Stock"/>
    <n v="6230.48"/>
    <n v="3478.14"/>
    <n v="2752.3400000000011"/>
    <x v="4"/>
    <n v="2025"/>
    <n v="0.4417540863625275"/>
  </r>
  <r>
    <s v="ORD1022"/>
    <s v="2025-02-21"/>
    <x v="2"/>
    <s v="East London"/>
    <x v="6"/>
    <x v="3"/>
    <s v="MAC Lipstick"/>
    <s v="MAC"/>
    <n v="38"/>
    <n v="289.91000000000003"/>
    <n v="171.89"/>
    <x v="0"/>
    <s v="Cash"/>
    <s v="Out of Stock"/>
    <n v="11016.58"/>
    <n v="6531.82"/>
    <n v="4484.760000000002"/>
    <x v="1"/>
    <n v="2025"/>
    <n v="0.40709185609327042"/>
  </r>
  <r>
    <s v="ORD1023"/>
    <s v="2025-05-13"/>
    <x v="2"/>
    <s v="Port Elizabeth"/>
    <x v="3"/>
    <x v="1"/>
    <s v="Nivea Body Lotion"/>
    <s v="Nivea"/>
    <n v="18"/>
    <n v="370.02"/>
    <n v="288.60000000000002"/>
    <x v="0"/>
    <s v="Card"/>
    <s v="Low Stock"/>
    <n v="6660.36"/>
    <n v="5194.8"/>
    <n v="1465.559999999999"/>
    <x v="3"/>
    <n v="2025"/>
    <n v="0.22004215988324949"/>
  </r>
  <r>
    <s v="ORD1024"/>
    <s v="2025-05-10"/>
    <x v="4"/>
    <s v="Pietermaritzburg"/>
    <x v="5"/>
    <x v="2"/>
    <s v="Dove Shampoo"/>
    <s v="Dove"/>
    <n v="37"/>
    <n v="299.52"/>
    <n v="211.4"/>
    <x v="1"/>
    <s v="Card"/>
    <s v="In Stock"/>
    <n v="11082.24"/>
    <n v="7821.8"/>
    <n v="3260.44"/>
    <x v="3"/>
    <n v="2025"/>
    <n v="0.29420405982905978"/>
  </r>
  <r>
    <s v="ORD1025"/>
    <s v="2025-03-06"/>
    <x v="2"/>
    <s v="Port Elizabeth"/>
    <x v="3"/>
    <x v="4"/>
    <s v="Dettol Soap"/>
    <s v="Dettol"/>
    <n v="17"/>
    <n v="93.99"/>
    <n v="66.959999999999994"/>
    <x v="0"/>
    <s v="Cash"/>
    <s v="In Stock"/>
    <n v="1597.83"/>
    <n v="1138.32"/>
    <n v="459.51"/>
    <x v="4"/>
    <n v="2025"/>
    <n v="0.28758378550909669"/>
  </r>
  <r>
    <s v="ORD1026"/>
    <s v="2025-03-13"/>
    <x v="3"/>
    <s v="Pretoria"/>
    <x v="8"/>
    <x v="0"/>
    <s v="CK Perfume"/>
    <s v="CK"/>
    <n v="40"/>
    <n v="205.92"/>
    <n v="112.96"/>
    <x v="1"/>
    <s v="Cash"/>
    <s v="Out of Stock"/>
    <n v="8236.7999999999993"/>
    <n v="4518.3999999999996"/>
    <n v="3718.4"/>
    <x v="4"/>
    <n v="2025"/>
    <n v="0.45143745143745151"/>
  </r>
  <r>
    <s v="ORD1027"/>
    <s v="2025-02-22"/>
    <x v="4"/>
    <s v="Durban"/>
    <x v="7"/>
    <x v="0"/>
    <s v="Revlon Perfume"/>
    <s v="Revlon"/>
    <n v="36"/>
    <n v="361.84"/>
    <n v="190.3"/>
    <x v="1"/>
    <s v="Cash"/>
    <s v="Out of Stock"/>
    <n v="13026.24"/>
    <n v="6850.8"/>
    <n v="6175.44"/>
    <x v="1"/>
    <n v="2025"/>
    <n v="0.47407694008401502"/>
  </r>
  <r>
    <s v="ORD1028"/>
    <s v="2025-02-28"/>
    <x v="1"/>
    <s v="Polokwane"/>
    <x v="2"/>
    <x v="2"/>
    <s v="Garnier Conditioner"/>
    <s v="Garnier"/>
    <n v="28"/>
    <n v="348.5"/>
    <n v="185.18"/>
    <x v="0"/>
    <s v="Card"/>
    <s v="Low Stock"/>
    <n v="9758"/>
    <n v="5185.04"/>
    <n v="4572.96"/>
    <x v="1"/>
    <n v="2025"/>
    <n v="0.46863701578192252"/>
  </r>
  <r>
    <s v="ORD1029"/>
    <s v="2025-06-14"/>
    <x v="3"/>
    <s v="Pretoria"/>
    <x v="8"/>
    <x v="0"/>
    <s v="Revlon Perfume"/>
    <s v="Revlon"/>
    <n v="17"/>
    <n v="133.63"/>
    <n v="79.92"/>
    <x v="0"/>
    <s v="Card"/>
    <s v="Out of Stock"/>
    <n v="2271.71"/>
    <n v="1358.64"/>
    <n v="913.06999999999994"/>
    <x v="5"/>
    <n v="2025"/>
    <n v="0.40193070418319238"/>
  </r>
  <r>
    <s v="ORD1030"/>
    <s v="2025-01-06"/>
    <x v="3"/>
    <s v="Pretoria"/>
    <x v="8"/>
    <x v="0"/>
    <s v="Revlon Perfume"/>
    <s v="Revlon"/>
    <n v="43"/>
    <n v="123.06"/>
    <n v="63.75"/>
    <x v="1"/>
    <s v="Card"/>
    <s v="In Stock"/>
    <n v="5291.58"/>
    <n v="2741.25"/>
    <n v="2550.33"/>
    <x v="2"/>
    <n v="2025"/>
    <n v="0.48196001950268158"/>
  </r>
  <r>
    <s v="ORD1031"/>
    <s v="2025-01-21"/>
    <x v="0"/>
    <s v="Stellenbosch"/>
    <x v="0"/>
    <x v="2"/>
    <s v="Dove Shampoo"/>
    <s v="Dove"/>
    <n v="40"/>
    <n v="203.52"/>
    <n v="130.4"/>
    <x v="1"/>
    <s v="Cash"/>
    <s v="In Stock"/>
    <n v="8140.8"/>
    <n v="5216"/>
    <n v="2924.8"/>
    <x v="2"/>
    <n v="2025"/>
    <n v="0.35927672955974838"/>
  </r>
  <r>
    <s v="ORD1032"/>
    <s v="2025-04-02"/>
    <x v="4"/>
    <s v="Pietermaritzburg"/>
    <x v="5"/>
    <x v="3"/>
    <s v="MAC Lipstick"/>
    <s v="MAC"/>
    <n v="29"/>
    <n v="181.01"/>
    <n v="102.93"/>
    <x v="1"/>
    <s v="Card"/>
    <s v="In Stock"/>
    <n v="5249.29"/>
    <n v="2984.97"/>
    <n v="2264.3200000000002"/>
    <x v="0"/>
    <n v="2025"/>
    <n v="0.43135738356996839"/>
  </r>
  <r>
    <s v="ORD1033"/>
    <s v="2025-02-16"/>
    <x v="2"/>
    <s v="Port Elizabeth"/>
    <x v="3"/>
    <x v="4"/>
    <s v="Colgate Toothpaste"/>
    <s v="Colgate"/>
    <n v="30"/>
    <n v="38.33"/>
    <n v="27.47"/>
    <x v="0"/>
    <s v="Cash"/>
    <s v="Out of Stock"/>
    <n v="1149.9000000000001"/>
    <n v="824.09999999999991"/>
    <n v="325.8"/>
    <x v="1"/>
    <n v="2025"/>
    <n v="0.28332898512914167"/>
  </r>
  <r>
    <s v="ORD1034"/>
    <s v="2025-03-24"/>
    <x v="2"/>
    <s v="Port Elizabeth"/>
    <x v="3"/>
    <x v="2"/>
    <s v="Dove Shampoo"/>
    <s v="Dove"/>
    <n v="15"/>
    <n v="25.36"/>
    <n v="13.46"/>
    <x v="0"/>
    <s v="Card"/>
    <s v="In Stock"/>
    <n v="380.4"/>
    <n v="201.9"/>
    <n v="178.5"/>
    <x v="4"/>
    <n v="2025"/>
    <n v="0.46924290220820192"/>
  </r>
  <r>
    <s v="ORD1035"/>
    <s v="2025-02-03"/>
    <x v="3"/>
    <s v="Johannesburg"/>
    <x v="4"/>
    <x v="3"/>
    <s v="MAC Lipstick"/>
    <s v="MAC"/>
    <n v="43"/>
    <n v="335.85"/>
    <n v="176.17"/>
    <x v="1"/>
    <s v="Card"/>
    <s v="Out of Stock"/>
    <n v="14441.55"/>
    <n v="7575.3099999999986"/>
    <n v="6866.2400000000016"/>
    <x v="1"/>
    <n v="2025"/>
    <n v="0.47545034985856788"/>
  </r>
  <r>
    <s v="ORD1036"/>
    <s v="2025-04-15"/>
    <x v="1"/>
    <s v="Polokwane"/>
    <x v="2"/>
    <x v="4"/>
    <s v="Dettol Soap"/>
    <s v="Dettol"/>
    <n v="40"/>
    <n v="90.63"/>
    <n v="54.58"/>
    <x v="1"/>
    <s v="Cash"/>
    <s v="Out of Stock"/>
    <n v="3625.2"/>
    <n v="2183.1999999999998"/>
    <n v="1442"/>
    <x v="0"/>
    <n v="2025"/>
    <n v="0.39777115745338187"/>
  </r>
  <r>
    <s v="ORD1037"/>
    <s v="2025-04-13"/>
    <x v="1"/>
    <s v="Polokwane"/>
    <x v="2"/>
    <x v="3"/>
    <s v="MAC Lipstick"/>
    <s v="MAC"/>
    <n v="23"/>
    <n v="121.14"/>
    <n v="65.650000000000006"/>
    <x v="1"/>
    <s v="Card"/>
    <s v="In Stock"/>
    <n v="2786.22"/>
    <n v="1509.95"/>
    <n v="1276.27"/>
    <x v="0"/>
    <n v="2025"/>
    <n v="0.45806504870397879"/>
  </r>
  <r>
    <s v="ORD1038"/>
    <s v="2025-01-23"/>
    <x v="2"/>
    <s v="Port Elizabeth"/>
    <x v="3"/>
    <x v="3"/>
    <s v="MAC Lipstick"/>
    <s v="MAC"/>
    <n v="8"/>
    <n v="345.6"/>
    <n v="201.23"/>
    <x v="0"/>
    <s v="Card"/>
    <s v="Low Stock"/>
    <n v="2764.8"/>
    <n v="1609.84"/>
    <n v="1154.96"/>
    <x v="2"/>
    <n v="2025"/>
    <n v="0.41773726851851861"/>
  </r>
  <r>
    <s v="ORD1039"/>
    <s v="2025-06-09"/>
    <x v="2"/>
    <s v="Port Elizabeth"/>
    <x v="3"/>
    <x v="1"/>
    <s v="Dove Body Cream"/>
    <s v="Dove"/>
    <n v="45"/>
    <n v="101.61"/>
    <n v="79.989999999999995"/>
    <x v="1"/>
    <s v="Cash"/>
    <s v="Low Stock"/>
    <n v="4572.45"/>
    <n v="3599.55"/>
    <n v="972.90000000000009"/>
    <x v="5"/>
    <n v="2025"/>
    <n v="0.21277433323491779"/>
  </r>
  <r>
    <s v="ORD1040"/>
    <s v="2025-05-08"/>
    <x v="0"/>
    <s v="Stellenbosch"/>
    <x v="0"/>
    <x v="2"/>
    <s v="Dove Shampoo"/>
    <s v="Dove"/>
    <n v="28"/>
    <n v="286.52999999999997"/>
    <n v="150.06"/>
    <x v="1"/>
    <s v="Card"/>
    <s v="Out of Stock"/>
    <n v="8022.8399999999992"/>
    <n v="4201.68"/>
    <n v="3821.1599999999989"/>
    <x v="3"/>
    <n v="2025"/>
    <n v="0.47628520573761901"/>
  </r>
  <r>
    <s v="ORD1041"/>
    <s v="2025-05-20"/>
    <x v="0"/>
    <s v="Cape Town"/>
    <x v="1"/>
    <x v="1"/>
    <s v="Dove Body Cream"/>
    <s v="Dove"/>
    <n v="45"/>
    <n v="385.97"/>
    <n v="307.19"/>
    <x v="1"/>
    <s v="Card"/>
    <s v="In Stock"/>
    <n v="17368.650000000001"/>
    <n v="13823.55"/>
    <n v="3545.1000000000022"/>
    <x v="3"/>
    <n v="2025"/>
    <n v="0.2041091276524083"/>
  </r>
  <r>
    <s v="ORD1042"/>
    <s v="2025-02-18"/>
    <x v="0"/>
    <s v="Cape Town"/>
    <x v="1"/>
    <x v="2"/>
    <s v="Garnier Conditioner"/>
    <s v="Garnier"/>
    <n v="13"/>
    <n v="344.74"/>
    <n v="240.29"/>
    <x v="0"/>
    <s v="Card"/>
    <s v="Low Stock"/>
    <n v="4481.62"/>
    <n v="3123.77"/>
    <n v="1357.85"/>
    <x v="1"/>
    <n v="2025"/>
    <n v="0.30298195741718398"/>
  </r>
  <r>
    <s v="ORD1043"/>
    <s v="2025-06-01"/>
    <x v="0"/>
    <s v="Cape Town"/>
    <x v="1"/>
    <x v="3"/>
    <s v="Maybelline Mascara"/>
    <s v="Maybelline"/>
    <n v="36"/>
    <n v="171.07"/>
    <n v="105.28"/>
    <x v="1"/>
    <s v="Card"/>
    <s v="Low Stock"/>
    <n v="6158.52"/>
    <n v="3790.08"/>
    <n v="2368.44"/>
    <x v="5"/>
    <n v="2025"/>
    <n v="0.38457941193663409"/>
  </r>
  <r>
    <s v="ORD1044"/>
    <s v="2025-02-08"/>
    <x v="0"/>
    <s v="Cape Town"/>
    <x v="1"/>
    <x v="4"/>
    <s v="Dettol Soap"/>
    <s v="Dettol"/>
    <n v="33"/>
    <n v="85.53"/>
    <n v="59.2"/>
    <x v="1"/>
    <s v="Cash"/>
    <s v="Out of Stock"/>
    <n v="2822.49"/>
    <n v="1953.6"/>
    <n v="868.8900000000001"/>
    <x v="1"/>
    <n v="2025"/>
    <n v="0.30784520051443942"/>
  </r>
  <r>
    <s v="ORD1045"/>
    <s v="2025-06-24"/>
    <x v="3"/>
    <s v="Johannesburg"/>
    <x v="4"/>
    <x v="1"/>
    <s v="Dove Body Cream"/>
    <s v="Dove"/>
    <n v="23"/>
    <n v="311.23"/>
    <n v="155.85"/>
    <x v="1"/>
    <s v="Cash"/>
    <s v="Out of Stock"/>
    <n v="7158.2900000000009"/>
    <n v="3584.55"/>
    <n v="3573.7400000000011"/>
    <x v="5"/>
    <n v="2025"/>
    <n v="0.49924493140121462"/>
  </r>
  <r>
    <s v="ORD1046"/>
    <s v="2025-05-05"/>
    <x v="2"/>
    <s v="East London"/>
    <x v="6"/>
    <x v="2"/>
    <s v="Garnier Conditioner"/>
    <s v="Garnier"/>
    <n v="28"/>
    <n v="220.9"/>
    <n v="154.46"/>
    <x v="0"/>
    <s v="Cash"/>
    <s v="In Stock"/>
    <n v="6185.2"/>
    <n v="4324.88"/>
    <n v="1860.32"/>
    <x v="3"/>
    <n v="2025"/>
    <n v="0.30076957899502033"/>
  </r>
  <r>
    <s v="ORD1047"/>
    <s v="2025-01-12"/>
    <x v="3"/>
    <s v="Pretoria"/>
    <x v="8"/>
    <x v="4"/>
    <s v="Colgate Toothpaste"/>
    <s v="Colgate"/>
    <n v="19"/>
    <n v="247.28"/>
    <n v="158.41999999999999"/>
    <x v="0"/>
    <s v="Cash"/>
    <s v="In Stock"/>
    <n v="4698.32"/>
    <n v="3009.98"/>
    <n v="1688.34"/>
    <x v="2"/>
    <n v="2025"/>
    <n v="0.35934972500808798"/>
  </r>
  <r>
    <s v="ORD1048"/>
    <s v="2025-03-19"/>
    <x v="1"/>
    <s v="Polokwane"/>
    <x v="2"/>
    <x v="0"/>
    <s v="CK Perfume"/>
    <s v="CK"/>
    <n v="44"/>
    <n v="251.55"/>
    <n v="132.93"/>
    <x v="1"/>
    <s v="Cash"/>
    <s v="In Stock"/>
    <n v="11068.2"/>
    <n v="5848.92"/>
    <n v="5219.2800000000007"/>
    <x v="4"/>
    <n v="2025"/>
    <n v="0.47155635062611811"/>
  </r>
  <r>
    <s v="ORD1049"/>
    <s v="2025-06-21"/>
    <x v="1"/>
    <s v="Polokwane"/>
    <x v="2"/>
    <x v="0"/>
    <s v="Revlon Perfume"/>
    <s v="Revlon"/>
    <n v="8"/>
    <n v="327.05"/>
    <n v="231.09"/>
    <x v="0"/>
    <s v="Card"/>
    <s v="Out of Stock"/>
    <n v="2616.4"/>
    <n v="1848.72"/>
    <n v="767.68000000000006"/>
    <x v="5"/>
    <n v="2025"/>
    <n v="0.29341079345665799"/>
  </r>
  <r>
    <s v="ORD1050"/>
    <s v="2025-03-11"/>
    <x v="4"/>
    <s v="Pietermaritzburg"/>
    <x v="5"/>
    <x v="4"/>
    <s v="Colgate Toothpaste"/>
    <s v="Colgate"/>
    <n v="14"/>
    <n v="294.89999999999998"/>
    <n v="192.6"/>
    <x v="0"/>
    <s v="Cash"/>
    <s v="Low Stock"/>
    <n v="4128.5999999999995"/>
    <n v="2696.4"/>
    <n v="1432.1999999999989"/>
    <x v="4"/>
    <n v="2025"/>
    <n v="0.34689725330620541"/>
  </r>
  <r>
    <s v="ORD1051"/>
    <s v="2025-05-23"/>
    <x v="2"/>
    <s v="Port Elizabeth"/>
    <x v="3"/>
    <x v="4"/>
    <s v="Colgate Toothpaste"/>
    <s v="Colgate"/>
    <n v="32"/>
    <n v="158.97"/>
    <n v="116.21"/>
    <x v="0"/>
    <s v="Cash"/>
    <s v="Low Stock"/>
    <n v="5087.04"/>
    <n v="3718.72"/>
    <n v="1368.32"/>
    <x v="3"/>
    <n v="2025"/>
    <n v="0.2689815688494685"/>
  </r>
  <r>
    <s v="ORD1052"/>
    <s v="2025-06-10"/>
    <x v="0"/>
    <s v="Stellenbosch"/>
    <x v="0"/>
    <x v="3"/>
    <s v="Maybelline Mascara"/>
    <s v="Maybelline"/>
    <n v="22"/>
    <n v="149.5"/>
    <n v="119.46"/>
    <x v="0"/>
    <s v="Card"/>
    <s v="Low Stock"/>
    <n v="3289"/>
    <n v="2628.12"/>
    <n v="660.88000000000011"/>
    <x v="5"/>
    <n v="2025"/>
    <n v="0.20093645484949829"/>
  </r>
  <r>
    <s v="ORD1053"/>
    <s v="2025-04-18"/>
    <x v="1"/>
    <s v="Polokwane"/>
    <x v="2"/>
    <x v="0"/>
    <s v="Revlon Perfume"/>
    <s v="Revlon"/>
    <n v="24"/>
    <n v="82.18"/>
    <n v="54.62"/>
    <x v="1"/>
    <s v="Cash"/>
    <s v="In Stock"/>
    <n v="1972.32"/>
    <n v="1310.88"/>
    <n v="661.44000000000028"/>
    <x v="0"/>
    <n v="2025"/>
    <n v="0.33536140180092489"/>
  </r>
  <r>
    <s v="ORD1054"/>
    <s v="2025-03-21"/>
    <x v="2"/>
    <s v="East London"/>
    <x v="6"/>
    <x v="0"/>
    <s v="Revlon Perfume"/>
    <s v="Revlon"/>
    <n v="15"/>
    <n v="69.540000000000006"/>
    <n v="52.97"/>
    <x v="1"/>
    <s v="Card"/>
    <s v="Low Stock"/>
    <n v="1043.0999999999999"/>
    <n v="794.55"/>
    <n v="248.55000000000021"/>
    <x v="4"/>
    <n v="2025"/>
    <n v="0.23828012654587299"/>
  </r>
  <r>
    <s v="ORD1055"/>
    <s v="2025-03-05"/>
    <x v="0"/>
    <s v="Cape Town"/>
    <x v="1"/>
    <x v="3"/>
    <s v="MAC Lipstick"/>
    <s v="MAC"/>
    <n v="47"/>
    <n v="67.17"/>
    <n v="47.84"/>
    <x v="1"/>
    <s v="Cash"/>
    <s v="Out of Stock"/>
    <n v="3156.99"/>
    <n v="2248.48"/>
    <n v="908.51000000000022"/>
    <x v="4"/>
    <n v="2025"/>
    <n v="0.28777728152449022"/>
  </r>
  <r>
    <s v="ORD1056"/>
    <s v="2025-01-07"/>
    <x v="3"/>
    <s v="Johannesburg"/>
    <x v="4"/>
    <x v="1"/>
    <s v="Dove Body Cream"/>
    <s v="Dove"/>
    <n v="30"/>
    <n v="106.18"/>
    <n v="64.209999999999994"/>
    <x v="0"/>
    <s v="Cash"/>
    <s v="Out of Stock"/>
    <n v="3185.4"/>
    <n v="1926.3"/>
    <n v="1259.0999999999999"/>
    <x v="2"/>
    <n v="2025"/>
    <n v="0.39527217931813913"/>
  </r>
  <r>
    <s v="ORD1057"/>
    <s v="2025-02-19"/>
    <x v="3"/>
    <s v="Johannesburg"/>
    <x v="4"/>
    <x v="4"/>
    <s v="Dettol Soap"/>
    <s v="Dettol"/>
    <n v="9"/>
    <n v="148.52000000000001"/>
    <n v="112.05"/>
    <x v="1"/>
    <s v="Cash"/>
    <s v="In Stock"/>
    <n v="1336.68"/>
    <n v="1008.45"/>
    <n v="328.23000000000008"/>
    <x v="1"/>
    <n v="2025"/>
    <n v="0.2455561540533262"/>
  </r>
  <r>
    <s v="ORD1058"/>
    <s v="2025-02-20"/>
    <x v="1"/>
    <s v="Polokwane"/>
    <x v="2"/>
    <x v="0"/>
    <s v="Revlon Perfume"/>
    <s v="Revlon"/>
    <n v="39"/>
    <n v="119.67"/>
    <n v="65.260000000000005"/>
    <x v="1"/>
    <s v="Cash"/>
    <s v="Out of Stock"/>
    <n v="4667.13"/>
    <n v="2545.14"/>
    <n v="2121.9899999999998"/>
    <x v="1"/>
    <n v="2025"/>
    <n v="0.45466700091919438"/>
  </r>
  <r>
    <s v="ORD1059"/>
    <s v="2025-05-29"/>
    <x v="3"/>
    <s v="Pretoria"/>
    <x v="8"/>
    <x v="4"/>
    <s v="Dettol Soap"/>
    <s v="Dettol"/>
    <n v="25"/>
    <n v="139.72"/>
    <n v="71.75"/>
    <x v="0"/>
    <s v="Cash"/>
    <s v="Low Stock"/>
    <n v="3493"/>
    <n v="1793.75"/>
    <n v="1699.25"/>
    <x v="3"/>
    <n v="2025"/>
    <n v="0.48647294589178358"/>
  </r>
  <r>
    <s v="ORD1060"/>
    <s v="2025-01-30"/>
    <x v="4"/>
    <s v="Durban"/>
    <x v="7"/>
    <x v="3"/>
    <s v="Maybelline Mascara"/>
    <s v="Maybelline"/>
    <n v="23"/>
    <n v="286.95"/>
    <n v="204.53"/>
    <x v="0"/>
    <s v="Card"/>
    <s v="In Stock"/>
    <n v="6599.8499999999995"/>
    <n v="4704.1899999999996"/>
    <n v="1895.66"/>
    <x v="2"/>
    <n v="2025"/>
    <n v="0.2872277400243945"/>
  </r>
  <r>
    <s v="ORD1061"/>
    <s v="2025-04-16"/>
    <x v="3"/>
    <s v="Johannesburg"/>
    <x v="4"/>
    <x v="0"/>
    <s v="Revlon Perfume"/>
    <s v="Revlon"/>
    <n v="25"/>
    <n v="375.92"/>
    <n v="191.05"/>
    <x v="0"/>
    <s v="Card"/>
    <s v="Low Stock"/>
    <n v="9398"/>
    <n v="4776.25"/>
    <n v="4621.75"/>
    <x v="0"/>
    <n v="2025"/>
    <n v="0.49178016599276442"/>
  </r>
  <r>
    <s v="ORD1062"/>
    <s v="2025-04-16"/>
    <x v="2"/>
    <s v="East London"/>
    <x v="6"/>
    <x v="1"/>
    <s v="Nivea Body Lotion"/>
    <s v="Nivea"/>
    <n v="14"/>
    <n v="311.55"/>
    <n v="243.15"/>
    <x v="0"/>
    <s v="Card"/>
    <s v="Out of Stock"/>
    <n v="4361.7"/>
    <n v="3404.1"/>
    <n v="957.59999999999991"/>
    <x v="0"/>
    <n v="2025"/>
    <n v="0.2195474241694752"/>
  </r>
  <r>
    <s v="ORD1063"/>
    <s v="2025-04-12"/>
    <x v="2"/>
    <s v="Port Elizabeth"/>
    <x v="3"/>
    <x v="4"/>
    <s v="Dettol Soap"/>
    <s v="Dettol"/>
    <n v="30"/>
    <n v="157.82"/>
    <n v="94.99"/>
    <x v="0"/>
    <s v="Card"/>
    <s v="Out of Stock"/>
    <n v="4734.5999999999995"/>
    <n v="2849.7"/>
    <n v="1884.9"/>
    <x v="0"/>
    <n v="2025"/>
    <n v="0.39811177290584199"/>
  </r>
  <r>
    <s v="ORD1064"/>
    <s v="2025-04-11"/>
    <x v="3"/>
    <s v="Pretoria"/>
    <x v="8"/>
    <x v="0"/>
    <s v="CK Perfume"/>
    <s v="CK"/>
    <n v="36"/>
    <n v="373.55"/>
    <n v="280.45999999999998"/>
    <x v="0"/>
    <s v="Card"/>
    <s v="Out of Stock"/>
    <n v="13447.8"/>
    <n v="10096.56"/>
    <n v="3351.2400000000021"/>
    <x v="0"/>
    <n v="2025"/>
    <n v="0.24920358720385499"/>
  </r>
  <r>
    <s v="ORD1065"/>
    <s v="2025-05-22"/>
    <x v="1"/>
    <s v="Polokwane"/>
    <x v="2"/>
    <x v="3"/>
    <s v="Maybelline Mascara"/>
    <s v="Maybelline"/>
    <n v="38"/>
    <n v="282.08999999999997"/>
    <n v="180.92"/>
    <x v="0"/>
    <s v="Cash"/>
    <s v="Out of Stock"/>
    <n v="10719.42"/>
    <n v="6874.9599999999991"/>
    <n v="3844.4599999999991"/>
    <x v="3"/>
    <n v="2025"/>
    <n v="0.35864440426814143"/>
  </r>
  <r>
    <s v="ORD1066"/>
    <s v="2025-06-24"/>
    <x v="1"/>
    <s v="Polokwane"/>
    <x v="2"/>
    <x v="0"/>
    <s v="Revlon Perfume"/>
    <s v="Revlon"/>
    <n v="16"/>
    <n v="346.73"/>
    <n v="240.71"/>
    <x v="1"/>
    <s v="Cash"/>
    <s v="In Stock"/>
    <n v="5547.68"/>
    <n v="3851.36"/>
    <n v="1696.32"/>
    <x v="5"/>
    <n v="2025"/>
    <n v="0.3057710610561532"/>
  </r>
  <r>
    <s v="ORD1067"/>
    <s v="2025-03-21"/>
    <x v="3"/>
    <s v="Johannesburg"/>
    <x v="4"/>
    <x v="1"/>
    <s v="Nivea Body Lotion"/>
    <s v="Nivea"/>
    <n v="38"/>
    <n v="126.35"/>
    <n v="88.47"/>
    <x v="1"/>
    <s v="Cash"/>
    <s v="In Stock"/>
    <n v="4801.3"/>
    <n v="3361.86"/>
    <n v="1439.44"/>
    <x v="4"/>
    <n v="2025"/>
    <n v="0.29980213692125052"/>
  </r>
  <r>
    <s v="ORD1068"/>
    <s v="2025-06-23"/>
    <x v="3"/>
    <s v="Johannesburg"/>
    <x v="4"/>
    <x v="4"/>
    <s v="Colgate Toothpaste"/>
    <s v="Colgate"/>
    <n v="16"/>
    <n v="192.71"/>
    <n v="141.47999999999999"/>
    <x v="0"/>
    <s v="Cash"/>
    <s v="In Stock"/>
    <n v="3083.36"/>
    <n v="2263.6799999999998"/>
    <n v="819.68000000000029"/>
    <x v="5"/>
    <n v="2025"/>
    <n v="0.26583986300659029"/>
  </r>
  <r>
    <s v="ORD1069"/>
    <s v="2025-01-07"/>
    <x v="2"/>
    <s v="East London"/>
    <x v="6"/>
    <x v="0"/>
    <s v="Revlon Perfume"/>
    <s v="Revlon"/>
    <n v="27"/>
    <n v="140.69"/>
    <n v="71.900000000000006"/>
    <x v="1"/>
    <s v="Cash"/>
    <s v="In Stock"/>
    <n v="3798.63"/>
    <n v="1941.3"/>
    <n v="1857.33"/>
    <x v="2"/>
    <n v="2025"/>
    <n v="0.48894733101144361"/>
  </r>
  <r>
    <s v="ORD1070"/>
    <s v="2025-05-03"/>
    <x v="0"/>
    <s v="Stellenbosch"/>
    <x v="0"/>
    <x v="1"/>
    <s v="Dove Body Cream"/>
    <s v="Dove"/>
    <n v="11"/>
    <n v="210.56"/>
    <n v="160.01"/>
    <x v="0"/>
    <s v="Card"/>
    <s v="Out of Stock"/>
    <n v="2316.16"/>
    <n v="1760.11"/>
    <n v="556.04999999999995"/>
    <x v="3"/>
    <n v="2025"/>
    <n v="0.24007408814589659"/>
  </r>
  <r>
    <s v="ORD1071"/>
    <s v="2025-01-20"/>
    <x v="1"/>
    <s v="Polokwane"/>
    <x v="2"/>
    <x v="1"/>
    <s v="Dove Body Cream"/>
    <s v="Dove"/>
    <n v="42"/>
    <n v="106.52"/>
    <n v="58.84"/>
    <x v="0"/>
    <s v="Card"/>
    <s v="In Stock"/>
    <n v="4473.84"/>
    <n v="2471.2800000000002"/>
    <n v="2002.56"/>
    <x v="2"/>
    <n v="2025"/>
    <n v="0.44761547127300028"/>
  </r>
  <r>
    <s v="ORD1072"/>
    <s v="2025-05-18"/>
    <x v="0"/>
    <s v="Cape Town"/>
    <x v="1"/>
    <x v="4"/>
    <s v="Colgate Toothpaste"/>
    <s v="Colgate"/>
    <n v="31"/>
    <n v="386.72"/>
    <n v="245"/>
    <x v="0"/>
    <s v="Card"/>
    <s v="Low Stock"/>
    <n v="11988.32"/>
    <n v="7595"/>
    <n v="4393.3200000000024"/>
    <x v="3"/>
    <n v="2025"/>
    <n v="0.36646669424906919"/>
  </r>
  <r>
    <s v="ORD1073"/>
    <s v="2025-06-30"/>
    <x v="2"/>
    <s v="Port Elizabeth"/>
    <x v="3"/>
    <x v="4"/>
    <s v="Colgate Toothpaste"/>
    <s v="Colgate"/>
    <n v="38"/>
    <n v="341.31"/>
    <n v="253.64"/>
    <x v="0"/>
    <s v="Cash"/>
    <s v="Low Stock"/>
    <n v="12969.78"/>
    <n v="9638.32"/>
    <n v="3331.4600000000009"/>
    <x v="5"/>
    <n v="2025"/>
    <n v="0.25686326213706018"/>
  </r>
  <r>
    <s v="ORD1074"/>
    <s v="2025-05-30"/>
    <x v="0"/>
    <s v="Cape Town"/>
    <x v="1"/>
    <x v="3"/>
    <s v="MAC Lipstick"/>
    <s v="MAC"/>
    <n v="47"/>
    <n v="220.46"/>
    <n v="175.9"/>
    <x v="0"/>
    <s v="Card"/>
    <s v="Out of Stock"/>
    <n v="10361.620000000001"/>
    <n v="8267.3000000000011"/>
    <n v="2094.3200000000002"/>
    <x v="3"/>
    <n v="2025"/>
    <n v="0.20212283407420839"/>
  </r>
  <r>
    <s v="ORD1075"/>
    <s v="2025-04-11"/>
    <x v="2"/>
    <s v="East London"/>
    <x v="6"/>
    <x v="1"/>
    <s v="Dove Body Cream"/>
    <s v="Dove"/>
    <n v="11"/>
    <n v="216.43"/>
    <n v="115.19"/>
    <x v="1"/>
    <s v="Card"/>
    <s v="In Stock"/>
    <n v="2380.73"/>
    <n v="1267.0899999999999"/>
    <n v="1113.6400000000001"/>
    <x v="0"/>
    <n v="2025"/>
    <n v="0.46777248995056142"/>
  </r>
  <r>
    <s v="ORD1076"/>
    <s v="2025-05-04"/>
    <x v="1"/>
    <s v="Polokwane"/>
    <x v="2"/>
    <x v="1"/>
    <s v="Dove Body Cream"/>
    <s v="Dove"/>
    <n v="11"/>
    <n v="115.9"/>
    <n v="90.25"/>
    <x v="0"/>
    <s v="Cash"/>
    <s v="Out of Stock"/>
    <n v="1274.9000000000001"/>
    <n v="992.75"/>
    <n v="282.15000000000009"/>
    <x v="3"/>
    <n v="2025"/>
    <n v="0.22131147540983609"/>
  </r>
  <r>
    <s v="ORD1077"/>
    <s v="2025-03-04"/>
    <x v="3"/>
    <s v="Pretoria"/>
    <x v="8"/>
    <x v="1"/>
    <s v="Nivea Body Lotion"/>
    <s v="Nivea"/>
    <n v="28"/>
    <n v="362.88"/>
    <n v="235.37"/>
    <x v="0"/>
    <s v="Card"/>
    <s v="Low Stock"/>
    <n v="10160.64"/>
    <n v="6590.3600000000006"/>
    <n v="3570.2799999999988"/>
    <x v="4"/>
    <n v="2025"/>
    <n v="0.351383377425044"/>
  </r>
  <r>
    <s v="ORD1078"/>
    <s v="2025-03-04"/>
    <x v="0"/>
    <s v="Cape Town"/>
    <x v="1"/>
    <x v="0"/>
    <s v="Revlon Perfume"/>
    <s v="Revlon"/>
    <n v="29"/>
    <n v="253.29"/>
    <n v="170.46"/>
    <x v="1"/>
    <s v="Cash"/>
    <s v="Low Stock"/>
    <n v="7345.41"/>
    <n v="4943.34"/>
    <n v="2402.0700000000002"/>
    <x v="4"/>
    <n v="2025"/>
    <n v="0.3270164633424138"/>
  </r>
  <r>
    <s v="ORD1079"/>
    <s v="2025-04-03"/>
    <x v="2"/>
    <s v="Port Elizabeth"/>
    <x v="3"/>
    <x v="0"/>
    <s v="CK Perfume"/>
    <s v="CK"/>
    <n v="35"/>
    <n v="287.42"/>
    <n v="159.88"/>
    <x v="1"/>
    <s v="Card"/>
    <s v="In Stock"/>
    <n v="10059.700000000001"/>
    <n v="5595.8"/>
    <n v="4463.9000000000005"/>
    <x v="0"/>
    <n v="2025"/>
    <n v="0.44374086702386761"/>
  </r>
  <r>
    <s v="ORD1080"/>
    <s v="2025-01-12"/>
    <x v="0"/>
    <s v="Stellenbosch"/>
    <x v="0"/>
    <x v="3"/>
    <s v="Maybelline Mascara"/>
    <s v="Maybelline"/>
    <n v="46"/>
    <n v="278.74"/>
    <n v="220.9"/>
    <x v="0"/>
    <s v="Cash"/>
    <s v="Low Stock"/>
    <n v="12822.04"/>
    <n v="10161.4"/>
    <n v="2660.6400000000008"/>
    <x v="2"/>
    <n v="2025"/>
    <n v="0.2075052019803402"/>
  </r>
  <r>
    <s v="ORD1081"/>
    <s v="2025-02-06"/>
    <x v="4"/>
    <s v="Pietermaritzburg"/>
    <x v="5"/>
    <x v="2"/>
    <s v="Garnier Conditioner"/>
    <s v="Garnier"/>
    <n v="34"/>
    <n v="362.25"/>
    <n v="223.65"/>
    <x v="0"/>
    <s v="Card"/>
    <s v="In Stock"/>
    <n v="12316.5"/>
    <n v="7604.1"/>
    <n v="4712.3999999999996"/>
    <x v="1"/>
    <n v="2025"/>
    <n v="0.38260869565217392"/>
  </r>
  <r>
    <s v="ORD1082"/>
    <s v="2025-03-04"/>
    <x v="4"/>
    <s v="Pietermaritzburg"/>
    <x v="5"/>
    <x v="2"/>
    <s v="Dove Shampoo"/>
    <s v="Dove"/>
    <n v="25"/>
    <n v="114.58"/>
    <n v="90.79"/>
    <x v="1"/>
    <s v="Card"/>
    <s v="In Stock"/>
    <n v="2864.5"/>
    <n v="2269.75"/>
    <n v="594.75"/>
    <x v="4"/>
    <n v="2025"/>
    <n v="0.20762785826496771"/>
  </r>
  <r>
    <s v="ORD1083"/>
    <s v="2025-02-18"/>
    <x v="2"/>
    <s v="Port Elizabeth"/>
    <x v="3"/>
    <x v="1"/>
    <s v="Dove Body Cream"/>
    <s v="Dove"/>
    <n v="49"/>
    <n v="68.260000000000005"/>
    <n v="39.06"/>
    <x v="1"/>
    <s v="Cash"/>
    <s v="Low Stock"/>
    <n v="3344.74"/>
    <n v="1913.94"/>
    <n v="1430.8"/>
    <x v="1"/>
    <n v="2025"/>
    <n v="0.42777615001464991"/>
  </r>
  <r>
    <s v="ORD1084"/>
    <s v="2025-04-01"/>
    <x v="1"/>
    <s v="Polokwane"/>
    <x v="2"/>
    <x v="4"/>
    <s v="Dettol Soap"/>
    <s v="Dettol"/>
    <n v="11"/>
    <n v="352.98"/>
    <n v="263.12"/>
    <x v="0"/>
    <s v="Card"/>
    <s v="Low Stock"/>
    <n v="3882.78"/>
    <n v="2894.32"/>
    <n v="988.46"/>
    <x v="0"/>
    <n v="2025"/>
    <n v="0.25457533004702809"/>
  </r>
  <r>
    <s v="ORD1085"/>
    <s v="2025-05-06"/>
    <x v="2"/>
    <s v="East London"/>
    <x v="6"/>
    <x v="1"/>
    <s v="Dove Body Cream"/>
    <s v="Dove"/>
    <n v="45"/>
    <n v="396.58"/>
    <n v="263.93"/>
    <x v="1"/>
    <s v="Cash"/>
    <s v="In Stock"/>
    <n v="17846.099999999999"/>
    <n v="11876.85"/>
    <n v="5969.2499999999982"/>
    <x v="3"/>
    <n v="2025"/>
    <n v="0.33448484542841278"/>
  </r>
  <r>
    <s v="ORD1086"/>
    <s v="2025-01-19"/>
    <x v="4"/>
    <s v="Pietermaritzburg"/>
    <x v="5"/>
    <x v="2"/>
    <s v="Garnier Conditioner"/>
    <s v="Garnier"/>
    <n v="35"/>
    <n v="349.71"/>
    <n v="255.97"/>
    <x v="1"/>
    <s v="Cash"/>
    <s v="Out of Stock"/>
    <n v="12239.85"/>
    <n v="8958.9500000000007"/>
    <n v="3280.8999999999978"/>
    <x v="2"/>
    <n v="2025"/>
    <n v="0.26805067055560311"/>
  </r>
  <r>
    <s v="ORD1087"/>
    <s v="2025-02-20"/>
    <x v="2"/>
    <s v="Port Elizabeth"/>
    <x v="3"/>
    <x v="4"/>
    <s v="Dettol Soap"/>
    <s v="Dettol"/>
    <n v="37"/>
    <n v="133.37"/>
    <n v="77.349999999999994"/>
    <x v="0"/>
    <s v="Cash"/>
    <s v="Out of Stock"/>
    <n v="4934.6900000000014"/>
    <n v="2861.95"/>
    <n v="2072.7400000000011"/>
    <x v="1"/>
    <n v="2025"/>
    <n v="0.42003449051510838"/>
  </r>
  <r>
    <s v="ORD1088"/>
    <s v="2025-02-06"/>
    <x v="0"/>
    <s v="Cape Town"/>
    <x v="1"/>
    <x v="0"/>
    <s v="CK Perfume"/>
    <s v="CK"/>
    <n v="33"/>
    <n v="246.25"/>
    <n v="194.9"/>
    <x v="0"/>
    <s v="Cash"/>
    <s v="In Stock"/>
    <n v="8126.25"/>
    <n v="6431.7"/>
    <n v="1694.55"/>
    <x v="1"/>
    <n v="2025"/>
    <n v="0.20852791878172591"/>
  </r>
  <r>
    <s v="ORD1089"/>
    <s v="2025-03-05"/>
    <x v="1"/>
    <s v="Polokwane"/>
    <x v="2"/>
    <x v="0"/>
    <s v="CK Perfume"/>
    <s v="CK"/>
    <n v="5"/>
    <n v="160.34"/>
    <n v="95.17"/>
    <x v="0"/>
    <s v="Cash"/>
    <s v="Low Stock"/>
    <n v="801.7"/>
    <n v="475.85"/>
    <n v="325.85000000000002"/>
    <x v="4"/>
    <n v="2025"/>
    <n v="0.40644879630784581"/>
  </r>
  <r>
    <s v="ORD1090"/>
    <s v="2025-01-02"/>
    <x v="0"/>
    <s v="Cape Town"/>
    <x v="1"/>
    <x v="0"/>
    <s v="Revlon Perfume"/>
    <s v="Revlon"/>
    <n v="21"/>
    <n v="304.64"/>
    <n v="225.04"/>
    <x v="0"/>
    <s v="Cash"/>
    <s v="Out of Stock"/>
    <n v="6397.44"/>
    <n v="4725.84"/>
    <n v="1671.599999999999"/>
    <x v="2"/>
    <n v="2025"/>
    <n v="0.26129201680672259"/>
  </r>
  <r>
    <s v="ORD1091"/>
    <s v="2025-06-14"/>
    <x v="3"/>
    <s v="Pretoria"/>
    <x v="8"/>
    <x v="4"/>
    <s v="Dettol Soap"/>
    <s v="Dettol"/>
    <n v="46"/>
    <n v="99.43"/>
    <n v="61.78"/>
    <x v="1"/>
    <s v="Cash"/>
    <s v="In Stock"/>
    <n v="4573.7800000000007"/>
    <n v="2841.88"/>
    <n v="1731.900000000001"/>
    <x v="5"/>
    <n v="2025"/>
    <n v="0.37865835260987629"/>
  </r>
  <r>
    <s v="ORD1092"/>
    <s v="2025-03-05"/>
    <x v="0"/>
    <s v="Stellenbosch"/>
    <x v="0"/>
    <x v="3"/>
    <s v="Maybelline Mascara"/>
    <s v="Maybelline"/>
    <n v="31"/>
    <n v="285.08"/>
    <n v="219.03"/>
    <x v="0"/>
    <s v="Card"/>
    <s v="Out of Stock"/>
    <n v="8837.48"/>
    <n v="6789.93"/>
    <n v="2047.549999999999"/>
    <x v="4"/>
    <n v="2025"/>
    <n v="0.2316893503577942"/>
  </r>
  <r>
    <s v="ORD1093"/>
    <s v="2025-06-24"/>
    <x v="0"/>
    <s v="Cape Town"/>
    <x v="1"/>
    <x v="2"/>
    <s v="Dove Shampoo"/>
    <s v="Dove"/>
    <n v="41"/>
    <n v="279.8"/>
    <n v="214.23"/>
    <x v="1"/>
    <s v="Card"/>
    <s v="Out of Stock"/>
    <n v="11471.8"/>
    <n v="8783.43"/>
    <n v="2688.3700000000008"/>
    <x v="5"/>
    <n v="2025"/>
    <n v="0.23434596140100081"/>
  </r>
  <r>
    <s v="ORD1094"/>
    <s v="2025-01-12"/>
    <x v="4"/>
    <s v="Durban"/>
    <x v="7"/>
    <x v="0"/>
    <s v="Revlon Perfume"/>
    <s v="Revlon"/>
    <n v="18"/>
    <n v="82.23"/>
    <n v="47.01"/>
    <x v="0"/>
    <s v="Cash"/>
    <s v="Out of Stock"/>
    <n v="1480.14"/>
    <n v="846.18"/>
    <n v="633.96000000000015"/>
    <x v="2"/>
    <n v="2025"/>
    <n v="0.4283108354615105"/>
  </r>
  <r>
    <s v="ORD1095"/>
    <s v="2025-03-15"/>
    <x v="2"/>
    <s v="East London"/>
    <x v="6"/>
    <x v="3"/>
    <s v="MAC Lipstick"/>
    <s v="MAC"/>
    <n v="29"/>
    <n v="35.590000000000003"/>
    <n v="28.46"/>
    <x v="1"/>
    <s v="Card"/>
    <s v="Low Stock"/>
    <n v="1032.1099999999999"/>
    <n v="825.34"/>
    <n v="206.7700000000001"/>
    <x v="4"/>
    <n v="2025"/>
    <n v="0.20033717336330439"/>
  </r>
  <r>
    <s v="ORD1096"/>
    <s v="2025-03-21"/>
    <x v="2"/>
    <s v="Port Elizabeth"/>
    <x v="3"/>
    <x v="0"/>
    <s v="Revlon Perfume"/>
    <s v="Revlon"/>
    <n v="20"/>
    <n v="260.63"/>
    <n v="159.69"/>
    <x v="0"/>
    <s v="Cash"/>
    <s v="Out of Stock"/>
    <n v="5212.6000000000004"/>
    <n v="3193.8"/>
    <n v="2018.8"/>
    <x v="4"/>
    <n v="2025"/>
    <n v="0.38729233012316311"/>
  </r>
  <r>
    <s v="ORD1097"/>
    <s v="2025-01-20"/>
    <x v="4"/>
    <s v="Pietermaritzburg"/>
    <x v="5"/>
    <x v="0"/>
    <s v="Revlon Perfume"/>
    <s v="Revlon"/>
    <n v="5"/>
    <n v="241.04"/>
    <n v="178.93"/>
    <x v="0"/>
    <s v="Cash"/>
    <s v="In Stock"/>
    <n v="1205.2"/>
    <n v="894.65000000000009"/>
    <n v="310.55"/>
    <x v="2"/>
    <n v="2025"/>
    <n v="0.25767507467640222"/>
  </r>
  <r>
    <s v="ORD1098"/>
    <s v="2025-05-16"/>
    <x v="1"/>
    <s v="Polokwane"/>
    <x v="2"/>
    <x v="1"/>
    <s v="Nivea Body Lotion"/>
    <s v="Nivea"/>
    <n v="37"/>
    <n v="159.03"/>
    <n v="86.8"/>
    <x v="1"/>
    <s v="Cash"/>
    <s v="Out of Stock"/>
    <n v="5884.11"/>
    <n v="3211.6"/>
    <n v="2672.51"/>
    <x v="3"/>
    <n v="2025"/>
    <n v="0.45419103313840148"/>
  </r>
  <r>
    <s v="ORD1099"/>
    <s v="2025-06-30"/>
    <x v="3"/>
    <s v="Johannesburg"/>
    <x v="4"/>
    <x v="2"/>
    <s v="Garnier Conditioner"/>
    <s v="Garnier"/>
    <n v="14"/>
    <n v="89.94"/>
    <n v="60.03"/>
    <x v="0"/>
    <s v="Cash"/>
    <s v="Out of Stock"/>
    <n v="1259.1600000000001"/>
    <n v="840.42000000000007"/>
    <n v="418.73999999999978"/>
    <x v="5"/>
    <n v="2025"/>
    <n v="0.33255503669112729"/>
  </r>
  <r>
    <s v="ORD1100"/>
    <s v="2025-01-13"/>
    <x v="3"/>
    <s v="Johannesburg"/>
    <x v="4"/>
    <x v="3"/>
    <s v="MAC Lipstick"/>
    <s v="MAC"/>
    <n v="36"/>
    <n v="261.39999999999998"/>
    <n v="207.39"/>
    <x v="0"/>
    <s v="Card"/>
    <s v="In Stock"/>
    <n v="9410.4"/>
    <n v="7466.0399999999991"/>
    <n v="1944.360000000001"/>
    <x v="2"/>
    <n v="2025"/>
    <n v="0.2066182096403979"/>
  </r>
  <r>
    <s v="ORD1101"/>
    <s v="2025-05-05"/>
    <x v="4"/>
    <s v="Durban"/>
    <x v="7"/>
    <x v="2"/>
    <s v="Dove Shampoo"/>
    <s v="Dove"/>
    <n v="34"/>
    <n v="233.43"/>
    <n v="143.41999999999999"/>
    <x v="0"/>
    <s v="Cash"/>
    <s v="Out of Stock"/>
    <n v="7936.62"/>
    <n v="4876.28"/>
    <n v="3060.34"/>
    <x v="3"/>
    <n v="2025"/>
    <n v="0.3855973953647775"/>
  </r>
  <r>
    <s v="ORD1102"/>
    <s v="2025-01-25"/>
    <x v="3"/>
    <s v="Pretoria"/>
    <x v="8"/>
    <x v="2"/>
    <s v="Garnier Conditioner"/>
    <s v="Garnier"/>
    <n v="48"/>
    <n v="112.99"/>
    <n v="89.58"/>
    <x v="0"/>
    <s v="Cash"/>
    <s v="In Stock"/>
    <n v="5423.52"/>
    <n v="4299.84"/>
    <n v="1123.6799999999989"/>
    <x v="2"/>
    <n v="2025"/>
    <n v="0.20718647667935211"/>
  </r>
  <r>
    <s v="ORD1103"/>
    <s v="2025-02-13"/>
    <x v="0"/>
    <s v="Stellenbosch"/>
    <x v="0"/>
    <x v="0"/>
    <s v="CK Perfume"/>
    <s v="CK"/>
    <n v="31"/>
    <n v="53.45"/>
    <n v="31.54"/>
    <x v="0"/>
    <s v="Card"/>
    <s v="Low Stock"/>
    <n v="1656.95"/>
    <n v="977.74"/>
    <n v="679.21"/>
    <x v="1"/>
    <n v="2025"/>
    <n v="0.40991580916744619"/>
  </r>
  <r>
    <s v="ORD1104"/>
    <s v="2025-03-23"/>
    <x v="4"/>
    <s v="Durban"/>
    <x v="7"/>
    <x v="4"/>
    <s v="Dettol Soap"/>
    <s v="Dettol"/>
    <n v="10"/>
    <n v="169.03"/>
    <n v="96.82"/>
    <x v="1"/>
    <s v="Card"/>
    <s v="Low Stock"/>
    <n v="1690.3"/>
    <n v="968.19999999999993"/>
    <n v="722.1"/>
    <x v="4"/>
    <n v="2025"/>
    <n v="0.42720227178607351"/>
  </r>
  <r>
    <s v="ORD1105"/>
    <s v="2025-04-25"/>
    <x v="0"/>
    <s v="Stellenbosch"/>
    <x v="0"/>
    <x v="0"/>
    <s v="Revlon Perfume"/>
    <s v="Revlon"/>
    <n v="14"/>
    <n v="280.07"/>
    <n v="150.9"/>
    <x v="0"/>
    <s v="Card"/>
    <s v="Out of Stock"/>
    <n v="3920.98"/>
    <n v="2112.6"/>
    <n v="1808.38"/>
    <x v="0"/>
    <n v="2025"/>
    <n v="0.46120612703966868"/>
  </r>
  <r>
    <s v="ORD1106"/>
    <s v="2025-05-31"/>
    <x v="3"/>
    <s v="Johannesburg"/>
    <x v="4"/>
    <x v="1"/>
    <s v="Nivea Body Lotion"/>
    <s v="Nivea"/>
    <n v="9"/>
    <n v="117.2"/>
    <n v="71.77"/>
    <x v="0"/>
    <s v="Card"/>
    <s v="Out of Stock"/>
    <n v="1054.8"/>
    <n v="645.92999999999995"/>
    <n v="408.87"/>
    <x v="3"/>
    <n v="2025"/>
    <n v="0.3876279863481229"/>
  </r>
  <r>
    <s v="ORD1107"/>
    <s v="2025-05-22"/>
    <x v="3"/>
    <s v="Pretoria"/>
    <x v="8"/>
    <x v="2"/>
    <s v="Garnier Conditioner"/>
    <s v="Garnier"/>
    <n v="18"/>
    <n v="46.71"/>
    <n v="28.85"/>
    <x v="1"/>
    <s v="Cash"/>
    <s v="Out of Stock"/>
    <n v="840.78"/>
    <n v="519.30000000000007"/>
    <n v="321.4799999999999"/>
    <x v="3"/>
    <n v="2025"/>
    <n v="0.38235923785056719"/>
  </r>
  <r>
    <s v="ORD1108"/>
    <s v="2025-04-13"/>
    <x v="0"/>
    <s v="Cape Town"/>
    <x v="1"/>
    <x v="4"/>
    <s v="Dettol Soap"/>
    <s v="Dettol"/>
    <n v="10"/>
    <n v="371.52"/>
    <n v="268.32"/>
    <x v="1"/>
    <s v="Cash"/>
    <s v="Out of Stock"/>
    <n v="3715.2"/>
    <n v="2683.2"/>
    <n v="1032"/>
    <x v="0"/>
    <n v="2025"/>
    <n v="0.27777777777777779"/>
  </r>
  <r>
    <s v="ORD1109"/>
    <s v="2025-03-05"/>
    <x v="1"/>
    <s v="Polokwane"/>
    <x v="2"/>
    <x v="1"/>
    <s v="Nivea Body Lotion"/>
    <s v="Nivea"/>
    <n v="28"/>
    <n v="251.8"/>
    <n v="187.83"/>
    <x v="1"/>
    <s v="Cash"/>
    <s v="In Stock"/>
    <n v="7050.4000000000005"/>
    <n v="5259.2400000000007"/>
    <n v="1791.16"/>
    <x v="4"/>
    <n v="2025"/>
    <n v="0.25405083399523432"/>
  </r>
  <r>
    <s v="ORD1110"/>
    <s v="2025-02-07"/>
    <x v="4"/>
    <s v="Pietermaritzburg"/>
    <x v="5"/>
    <x v="0"/>
    <s v="CK Perfume"/>
    <s v="CK"/>
    <n v="8"/>
    <n v="217.1"/>
    <n v="153.68"/>
    <x v="0"/>
    <s v="Card"/>
    <s v="Out of Stock"/>
    <n v="1736.8"/>
    <n v="1229.44"/>
    <n v="507.3599999999999"/>
    <x v="1"/>
    <n v="2025"/>
    <n v="0.29212344541685847"/>
  </r>
  <r>
    <s v="ORD1111"/>
    <s v="2025-01-12"/>
    <x v="2"/>
    <s v="East London"/>
    <x v="6"/>
    <x v="4"/>
    <s v="Dettol Soap"/>
    <s v="Dettol"/>
    <n v="43"/>
    <n v="325.95999999999998"/>
    <n v="222.89"/>
    <x v="0"/>
    <s v="Cash"/>
    <s v="Out of Stock"/>
    <n v="14016.28"/>
    <n v="9584.2699999999986"/>
    <n v="4432.01"/>
    <x v="2"/>
    <n v="2025"/>
    <n v="0.31620444226285438"/>
  </r>
  <r>
    <s v="ORD1112"/>
    <s v="2025-01-28"/>
    <x v="4"/>
    <s v="Pietermaritzburg"/>
    <x v="5"/>
    <x v="0"/>
    <s v="CK Perfume"/>
    <s v="CK"/>
    <n v="42"/>
    <n v="171.21"/>
    <n v="101.44"/>
    <x v="0"/>
    <s v="Cash"/>
    <s v="Low Stock"/>
    <n v="7190.8200000000006"/>
    <n v="4260.4799999999996"/>
    <n v="2930.3400000000011"/>
    <x v="2"/>
    <n v="2025"/>
    <n v="0.40751124350213203"/>
  </r>
  <r>
    <s v="ORD1113"/>
    <s v="2025-05-17"/>
    <x v="4"/>
    <s v="Durban"/>
    <x v="7"/>
    <x v="3"/>
    <s v="MAC Lipstick"/>
    <s v="MAC"/>
    <n v="8"/>
    <n v="327.85"/>
    <n v="237.92"/>
    <x v="1"/>
    <s v="Cash"/>
    <s v="Low Stock"/>
    <n v="2622.8"/>
    <n v="1903.36"/>
    <n v="719.44000000000028"/>
    <x v="3"/>
    <n v="2025"/>
    <n v="0.27430227238066202"/>
  </r>
  <r>
    <s v="ORD1114"/>
    <s v="2025-04-10"/>
    <x v="1"/>
    <s v="Polokwane"/>
    <x v="2"/>
    <x v="4"/>
    <s v="Colgate Toothpaste"/>
    <s v="Colgate"/>
    <n v="43"/>
    <n v="89.32"/>
    <n v="66.41"/>
    <x v="1"/>
    <s v="Cash"/>
    <s v="Out of Stock"/>
    <n v="3840.76"/>
    <n v="2855.63"/>
    <n v="985.13000000000011"/>
    <x v="0"/>
    <n v="2025"/>
    <n v="0.25649350649350661"/>
  </r>
  <r>
    <s v="ORD1115"/>
    <s v="2025-01-04"/>
    <x v="1"/>
    <s v="Polokwane"/>
    <x v="2"/>
    <x v="1"/>
    <s v="Nivea Body Lotion"/>
    <s v="Nivea"/>
    <n v="28"/>
    <n v="350.35"/>
    <n v="225.99"/>
    <x v="0"/>
    <s v="Cash"/>
    <s v="In Stock"/>
    <n v="9809.8000000000011"/>
    <n v="6327.72"/>
    <n v="3482.0800000000008"/>
    <x v="2"/>
    <n v="2025"/>
    <n v="0.35495932638789779"/>
  </r>
  <r>
    <s v="ORD1116"/>
    <s v="2025-02-21"/>
    <x v="2"/>
    <s v="East London"/>
    <x v="6"/>
    <x v="1"/>
    <s v="Nivea Body Lotion"/>
    <s v="Nivea"/>
    <n v="5"/>
    <n v="121.2"/>
    <n v="81.239999999999995"/>
    <x v="0"/>
    <s v="Cash"/>
    <s v="Low Stock"/>
    <n v="606"/>
    <n v="406.2"/>
    <n v="199.8"/>
    <x v="1"/>
    <n v="2025"/>
    <n v="0.32970297029702972"/>
  </r>
  <r>
    <s v="ORD1117"/>
    <s v="2025-06-02"/>
    <x v="0"/>
    <s v="Stellenbosch"/>
    <x v="0"/>
    <x v="4"/>
    <s v="Colgate Toothpaste"/>
    <s v="Colgate"/>
    <n v="26"/>
    <n v="284.74"/>
    <n v="211.92"/>
    <x v="1"/>
    <s v="Card"/>
    <s v="In Stock"/>
    <n v="7403.24"/>
    <n v="5509.92"/>
    <n v="1893.32"/>
    <x v="5"/>
    <n v="2025"/>
    <n v="0.25574208049448621"/>
  </r>
  <r>
    <s v="ORD1118"/>
    <s v="2025-05-27"/>
    <x v="2"/>
    <s v="Port Elizabeth"/>
    <x v="3"/>
    <x v="3"/>
    <s v="MAC Lipstick"/>
    <s v="MAC"/>
    <n v="11"/>
    <n v="364.91"/>
    <n v="215.51"/>
    <x v="0"/>
    <s v="Card"/>
    <s v="Out of Stock"/>
    <n v="4014.01"/>
    <n v="2370.61"/>
    <n v="1643.400000000001"/>
    <x v="3"/>
    <n v="2025"/>
    <n v="0.4094160203885891"/>
  </r>
  <r>
    <s v="ORD1119"/>
    <s v="2025-01-09"/>
    <x v="1"/>
    <s v="Polokwane"/>
    <x v="2"/>
    <x v="2"/>
    <s v="Dove Shampoo"/>
    <s v="Dove"/>
    <n v="30"/>
    <n v="140.77000000000001"/>
    <n v="71.959999999999994"/>
    <x v="1"/>
    <s v="Cash"/>
    <s v="Low Stock"/>
    <n v="4223.1000000000004"/>
    <n v="2158.8000000000002"/>
    <n v="2064.3000000000011"/>
    <x v="2"/>
    <n v="2025"/>
    <n v="0.48881153654898069"/>
  </r>
  <r>
    <s v="ORD1120"/>
    <s v="2025-06-09"/>
    <x v="0"/>
    <s v="Stellenbosch"/>
    <x v="0"/>
    <x v="0"/>
    <s v="Revlon Perfume"/>
    <s v="Revlon"/>
    <n v="30"/>
    <n v="251.9"/>
    <n v="127.77"/>
    <x v="0"/>
    <s v="Cash"/>
    <s v="Out of Stock"/>
    <n v="7557"/>
    <n v="3833.1"/>
    <n v="3723.9"/>
    <x v="5"/>
    <n v="2025"/>
    <n v="0.49277491067884083"/>
  </r>
  <r>
    <s v="ORD1121"/>
    <s v="2025-06-09"/>
    <x v="3"/>
    <s v="Johannesburg"/>
    <x v="4"/>
    <x v="0"/>
    <s v="CK Perfume"/>
    <s v="CK"/>
    <n v="12"/>
    <n v="354.48"/>
    <n v="186.49"/>
    <x v="0"/>
    <s v="Cash"/>
    <s v="In Stock"/>
    <n v="4253.76"/>
    <n v="2237.88"/>
    <n v="2015.88"/>
    <x v="5"/>
    <n v="2025"/>
    <n v="0.47390543895283233"/>
  </r>
  <r>
    <s v="ORD1122"/>
    <s v="2025-06-16"/>
    <x v="1"/>
    <s v="Polokwane"/>
    <x v="2"/>
    <x v="4"/>
    <s v="Colgate Toothpaste"/>
    <s v="Colgate"/>
    <n v="42"/>
    <n v="122.47"/>
    <n v="78.89"/>
    <x v="0"/>
    <s v="Card"/>
    <s v="Out of Stock"/>
    <n v="5143.74"/>
    <n v="3313.38"/>
    <n v="1830.36"/>
    <x v="5"/>
    <n v="2025"/>
    <n v="0.35584224708091772"/>
  </r>
  <r>
    <s v="ORD1123"/>
    <s v="2025-03-31"/>
    <x v="3"/>
    <s v="Pretoria"/>
    <x v="8"/>
    <x v="4"/>
    <s v="Colgate Toothpaste"/>
    <s v="Colgate"/>
    <n v="15"/>
    <n v="281.85000000000002"/>
    <n v="197.13"/>
    <x v="0"/>
    <s v="Cash"/>
    <s v="Low Stock"/>
    <n v="4227.75"/>
    <n v="2956.95"/>
    <n v="1270.8"/>
    <x v="4"/>
    <n v="2025"/>
    <n v="0.30058541777541248"/>
  </r>
  <r>
    <s v="ORD1124"/>
    <s v="2025-03-11"/>
    <x v="2"/>
    <s v="Port Elizabeth"/>
    <x v="3"/>
    <x v="0"/>
    <s v="Revlon Perfume"/>
    <s v="Revlon"/>
    <n v="16"/>
    <n v="325.79000000000002"/>
    <n v="243.07"/>
    <x v="1"/>
    <s v="Card"/>
    <s v="Out of Stock"/>
    <n v="5212.6400000000003"/>
    <n v="3889.12"/>
    <n v="1323.52"/>
    <x v="4"/>
    <n v="2025"/>
    <n v="0.25390589029743088"/>
  </r>
  <r>
    <s v="ORD1125"/>
    <s v="2025-01-28"/>
    <x v="3"/>
    <s v="Pretoria"/>
    <x v="8"/>
    <x v="2"/>
    <s v="Garnier Conditioner"/>
    <s v="Garnier"/>
    <n v="13"/>
    <n v="40.479999999999997"/>
    <n v="30.18"/>
    <x v="0"/>
    <s v="Cash"/>
    <s v="In Stock"/>
    <n v="526.24"/>
    <n v="392.34"/>
    <n v="133.9"/>
    <x v="2"/>
    <n v="2025"/>
    <n v="0.25444664031620562"/>
  </r>
  <r>
    <s v="ORD1126"/>
    <s v="2025-05-11"/>
    <x v="4"/>
    <s v="Durban"/>
    <x v="7"/>
    <x v="1"/>
    <s v="Nivea Body Lotion"/>
    <s v="Nivea"/>
    <n v="45"/>
    <n v="357.33"/>
    <n v="270.75"/>
    <x v="0"/>
    <s v="Card"/>
    <s v="Low Stock"/>
    <n v="16079.85"/>
    <n v="12183.75"/>
    <n v="3896.099999999999"/>
    <x v="3"/>
    <n v="2025"/>
    <n v="0.242297036352951"/>
  </r>
  <r>
    <s v="ORD1127"/>
    <s v="2025-03-04"/>
    <x v="1"/>
    <s v="Polokwane"/>
    <x v="2"/>
    <x v="3"/>
    <s v="Maybelline Mascara"/>
    <s v="Maybelline"/>
    <n v="17"/>
    <n v="240.95"/>
    <n v="138.18"/>
    <x v="1"/>
    <s v="Cash"/>
    <s v="In Stock"/>
    <n v="4096.1499999999996"/>
    <n v="2349.06"/>
    <n v="1747.09"/>
    <x v="4"/>
    <n v="2025"/>
    <n v="0.42652002490143182"/>
  </r>
  <r>
    <s v="ORD1128"/>
    <s v="2025-06-06"/>
    <x v="2"/>
    <s v="Port Elizabeth"/>
    <x v="3"/>
    <x v="3"/>
    <s v="MAC Lipstick"/>
    <s v="MAC"/>
    <n v="29"/>
    <n v="281.08"/>
    <n v="196.63"/>
    <x v="1"/>
    <s v="Cash"/>
    <s v="Low Stock"/>
    <n v="8151.32"/>
    <n v="5702.27"/>
    <n v="2449.0500000000002"/>
    <x v="5"/>
    <n v="2025"/>
    <n v="0.3004482709548883"/>
  </r>
  <r>
    <s v="ORD1129"/>
    <s v="2025-06-11"/>
    <x v="2"/>
    <s v="Port Elizabeth"/>
    <x v="3"/>
    <x v="4"/>
    <s v="Colgate Toothpaste"/>
    <s v="Colgate"/>
    <n v="16"/>
    <n v="367.5"/>
    <n v="233.38"/>
    <x v="0"/>
    <s v="Cash"/>
    <s v="Out of Stock"/>
    <n v="5880"/>
    <n v="3734.08"/>
    <n v="2145.92"/>
    <x v="5"/>
    <n v="2025"/>
    <n v="0.36495238095238097"/>
  </r>
  <r>
    <s v="ORD1130"/>
    <s v="2025-01-23"/>
    <x v="2"/>
    <s v="East London"/>
    <x v="6"/>
    <x v="0"/>
    <s v="CK Perfume"/>
    <s v="CK"/>
    <n v="37"/>
    <n v="344.25"/>
    <n v="220.39"/>
    <x v="0"/>
    <s v="Cash"/>
    <s v="Low Stock"/>
    <n v="12737.25"/>
    <n v="8154.4299999999994"/>
    <n v="4582.8200000000006"/>
    <x v="2"/>
    <n v="2025"/>
    <n v="0.35979665940450262"/>
  </r>
  <r>
    <s v="ORD1131"/>
    <s v="2025-01-26"/>
    <x v="3"/>
    <s v="Pretoria"/>
    <x v="8"/>
    <x v="1"/>
    <s v="Dove Body Cream"/>
    <s v="Dove"/>
    <n v="37"/>
    <n v="308.25"/>
    <n v="200.44"/>
    <x v="0"/>
    <s v="Cash"/>
    <s v="In Stock"/>
    <n v="11405.25"/>
    <n v="7416.28"/>
    <n v="3988.97"/>
    <x v="2"/>
    <n v="2025"/>
    <n v="0.34974858069748582"/>
  </r>
  <r>
    <s v="ORD1132"/>
    <s v="2025-05-27"/>
    <x v="1"/>
    <s v="Polokwane"/>
    <x v="2"/>
    <x v="3"/>
    <s v="MAC Lipstick"/>
    <s v="MAC"/>
    <n v="26"/>
    <n v="150.43"/>
    <n v="104.82"/>
    <x v="0"/>
    <s v="Cash"/>
    <s v="Low Stock"/>
    <n v="3911.18"/>
    <n v="2725.32"/>
    <n v="1185.860000000001"/>
    <x v="3"/>
    <n v="2025"/>
    <n v="0.30319750049857092"/>
  </r>
  <r>
    <s v="ORD1133"/>
    <s v="2025-06-04"/>
    <x v="1"/>
    <s v="Polokwane"/>
    <x v="2"/>
    <x v="3"/>
    <s v="MAC Lipstick"/>
    <s v="MAC"/>
    <n v="10"/>
    <n v="69.81"/>
    <n v="38.51"/>
    <x v="1"/>
    <s v="Card"/>
    <s v="Out of Stock"/>
    <n v="698.1"/>
    <n v="385.1"/>
    <n v="313.00000000000011"/>
    <x v="5"/>
    <n v="2025"/>
    <n v="0.44835983383469419"/>
  </r>
  <r>
    <s v="ORD1134"/>
    <s v="2025-02-13"/>
    <x v="0"/>
    <s v="Stellenbosch"/>
    <x v="0"/>
    <x v="2"/>
    <s v="Garnier Conditioner"/>
    <s v="Garnier"/>
    <n v="37"/>
    <n v="352.48"/>
    <n v="274.41000000000003"/>
    <x v="1"/>
    <s v="Card"/>
    <s v="In Stock"/>
    <n v="13041.76"/>
    <n v="10153.17"/>
    <n v="2888.59"/>
    <x v="1"/>
    <n v="2025"/>
    <n v="0.22148774398547441"/>
  </r>
  <r>
    <s v="ORD1135"/>
    <s v="2025-02-05"/>
    <x v="2"/>
    <s v="Port Elizabeth"/>
    <x v="3"/>
    <x v="2"/>
    <s v="Garnier Conditioner"/>
    <s v="Garnier"/>
    <n v="48"/>
    <n v="116.3"/>
    <n v="80.08"/>
    <x v="0"/>
    <s v="Card"/>
    <s v="In Stock"/>
    <n v="5582.4"/>
    <n v="3843.84"/>
    <n v="1738.559999999999"/>
    <x v="1"/>
    <n v="2025"/>
    <n v="0.31143594153052451"/>
  </r>
  <r>
    <s v="ORD1136"/>
    <s v="2025-05-05"/>
    <x v="3"/>
    <s v="Johannesburg"/>
    <x v="4"/>
    <x v="1"/>
    <s v="Nivea Body Lotion"/>
    <s v="Nivea"/>
    <n v="12"/>
    <n v="34.06"/>
    <n v="26.6"/>
    <x v="1"/>
    <s v="Card"/>
    <s v="Low Stock"/>
    <n v="408.72"/>
    <n v="319.2"/>
    <n v="89.519999999999982"/>
    <x v="3"/>
    <n v="2025"/>
    <n v="0.21902524955960059"/>
  </r>
  <r>
    <s v="ORD1137"/>
    <s v="2025-03-02"/>
    <x v="1"/>
    <s v="Polokwane"/>
    <x v="2"/>
    <x v="2"/>
    <s v="Garnier Conditioner"/>
    <s v="Garnier"/>
    <n v="12"/>
    <n v="172.06"/>
    <n v="110.98"/>
    <x v="1"/>
    <s v="Cash"/>
    <s v="In Stock"/>
    <n v="2064.7199999999998"/>
    <n v="1331.76"/>
    <n v="732.96000000000026"/>
    <x v="4"/>
    <n v="2025"/>
    <n v="0.35499244449610612"/>
  </r>
  <r>
    <s v="ORD1138"/>
    <s v="2025-03-14"/>
    <x v="1"/>
    <s v="Polokwane"/>
    <x v="2"/>
    <x v="4"/>
    <s v="Colgate Toothpaste"/>
    <s v="Colgate"/>
    <n v="16"/>
    <n v="328.4"/>
    <n v="187.12"/>
    <x v="0"/>
    <s v="Cash"/>
    <s v="In Stock"/>
    <n v="5254.4"/>
    <n v="2993.92"/>
    <n v="2260.48"/>
    <x v="4"/>
    <n v="2025"/>
    <n v="0.43020706455542018"/>
  </r>
  <r>
    <s v="ORD1139"/>
    <s v="2025-05-08"/>
    <x v="4"/>
    <s v="Pietermaritzburg"/>
    <x v="5"/>
    <x v="3"/>
    <s v="MAC Lipstick"/>
    <s v="MAC"/>
    <n v="21"/>
    <n v="277.60000000000002"/>
    <n v="210.94"/>
    <x v="1"/>
    <s v="Cash"/>
    <s v="Low Stock"/>
    <n v="5829.6"/>
    <n v="4429.74"/>
    <n v="1399.860000000001"/>
    <x v="3"/>
    <n v="2025"/>
    <n v="0.2401296829971182"/>
  </r>
  <r>
    <s v="ORD1140"/>
    <s v="2025-06-06"/>
    <x v="3"/>
    <s v="Pretoria"/>
    <x v="8"/>
    <x v="2"/>
    <s v="Dove Shampoo"/>
    <s v="Dove"/>
    <n v="39"/>
    <n v="107.61"/>
    <n v="62.06"/>
    <x v="0"/>
    <s v="Cash"/>
    <s v="Out of Stock"/>
    <n v="4196.79"/>
    <n v="2420.34"/>
    <n v="1776.45"/>
    <x v="5"/>
    <n v="2025"/>
    <n v="0.42328779853173493"/>
  </r>
  <r>
    <s v="ORD1141"/>
    <s v="2025-06-17"/>
    <x v="4"/>
    <s v="Pietermaritzburg"/>
    <x v="5"/>
    <x v="2"/>
    <s v="Garnier Conditioner"/>
    <s v="Garnier"/>
    <n v="38"/>
    <n v="297.77"/>
    <n v="180.78"/>
    <x v="1"/>
    <s v="Card"/>
    <s v="Out of Stock"/>
    <n v="11315.26"/>
    <n v="6869.64"/>
    <n v="4445.6199999999981"/>
    <x v="5"/>
    <n v="2025"/>
    <n v="0.39288712764885642"/>
  </r>
  <r>
    <s v="ORD1142"/>
    <s v="2025-03-26"/>
    <x v="1"/>
    <s v="Polokwane"/>
    <x v="2"/>
    <x v="2"/>
    <s v="Dove Shampoo"/>
    <s v="Dove"/>
    <n v="25"/>
    <n v="182.37"/>
    <n v="113.12"/>
    <x v="0"/>
    <s v="Cash"/>
    <s v="Low Stock"/>
    <n v="4559.25"/>
    <n v="2828"/>
    <n v="1731.25"/>
    <x v="4"/>
    <n v="2025"/>
    <n v="0.37972254208477269"/>
  </r>
  <r>
    <s v="ORD1143"/>
    <s v="2025-02-28"/>
    <x v="3"/>
    <s v="Pretoria"/>
    <x v="8"/>
    <x v="0"/>
    <s v="CK Perfume"/>
    <s v="CK"/>
    <n v="41"/>
    <n v="202.49"/>
    <n v="106.12"/>
    <x v="1"/>
    <s v="Cash"/>
    <s v="In Stock"/>
    <n v="8302.09"/>
    <n v="4350.92"/>
    <n v="3951.17"/>
    <x v="1"/>
    <n v="2025"/>
    <n v="0.47592473702405058"/>
  </r>
  <r>
    <s v="ORD1144"/>
    <s v="2025-01-01"/>
    <x v="3"/>
    <s v="Johannesburg"/>
    <x v="4"/>
    <x v="0"/>
    <s v="Revlon Perfume"/>
    <s v="Revlon"/>
    <n v="16"/>
    <n v="64.37"/>
    <n v="47.58"/>
    <x v="0"/>
    <s v="Card"/>
    <s v="Low Stock"/>
    <n v="1029.92"/>
    <n v="761.28"/>
    <n v="268.6400000000001"/>
    <x v="2"/>
    <n v="2025"/>
    <n v="0.26083579307130661"/>
  </r>
  <r>
    <s v="ORD1145"/>
    <s v="2025-04-18"/>
    <x v="2"/>
    <s v="East London"/>
    <x v="6"/>
    <x v="0"/>
    <s v="Revlon Perfume"/>
    <s v="Revlon"/>
    <n v="10"/>
    <n v="353.04"/>
    <n v="216.59"/>
    <x v="1"/>
    <s v="Card"/>
    <s v="In Stock"/>
    <n v="3530.4"/>
    <n v="2165.9"/>
    <n v="1364.5"/>
    <x v="0"/>
    <n v="2025"/>
    <n v="0.38650011330160888"/>
  </r>
  <r>
    <s v="ORD1146"/>
    <s v="2025-02-03"/>
    <x v="4"/>
    <s v="Pietermaritzburg"/>
    <x v="5"/>
    <x v="2"/>
    <s v="Garnier Conditioner"/>
    <s v="Garnier"/>
    <n v="49"/>
    <n v="272.61"/>
    <n v="208.6"/>
    <x v="0"/>
    <s v="Card"/>
    <s v="Out of Stock"/>
    <n v="13357.89"/>
    <n v="10221.4"/>
    <n v="3136.4900000000021"/>
    <x v="1"/>
    <n v="2025"/>
    <n v="0.2348042991819817"/>
  </r>
  <r>
    <s v="ORD1147"/>
    <s v="2025-06-19"/>
    <x v="0"/>
    <s v="Stellenbosch"/>
    <x v="0"/>
    <x v="2"/>
    <s v="Garnier Conditioner"/>
    <s v="Garnier"/>
    <n v="18"/>
    <n v="397.5"/>
    <n v="240.24"/>
    <x v="0"/>
    <s v="Cash"/>
    <s v="In Stock"/>
    <n v="7155"/>
    <n v="4324.32"/>
    <n v="2830.68"/>
    <x v="5"/>
    <n v="2025"/>
    <n v="0.39562264150943399"/>
  </r>
  <r>
    <s v="ORD1148"/>
    <s v="2025-04-18"/>
    <x v="3"/>
    <s v="Pretoria"/>
    <x v="8"/>
    <x v="4"/>
    <s v="Colgate Toothpaste"/>
    <s v="Colgate"/>
    <n v="23"/>
    <n v="170.39"/>
    <n v="99.16"/>
    <x v="0"/>
    <s v="Card"/>
    <s v="Out of Stock"/>
    <n v="3918.97"/>
    <n v="2280.6799999999998"/>
    <n v="1638.29"/>
    <x v="0"/>
    <n v="2025"/>
    <n v="0.4180409648453548"/>
  </r>
  <r>
    <s v="ORD1149"/>
    <s v="2025-01-28"/>
    <x v="1"/>
    <s v="Polokwane"/>
    <x v="2"/>
    <x v="3"/>
    <s v="MAC Lipstick"/>
    <s v="MAC"/>
    <n v="13"/>
    <n v="216.17"/>
    <n v="114.68"/>
    <x v="1"/>
    <s v="Cash"/>
    <s v="Low Stock"/>
    <n v="2810.21"/>
    <n v="1490.84"/>
    <n v="1319.37"/>
    <x v="2"/>
    <n v="2025"/>
    <n v="0.46949160383031868"/>
  </r>
  <r>
    <s v="ORD1150"/>
    <s v="2025-02-03"/>
    <x v="2"/>
    <s v="Port Elizabeth"/>
    <x v="3"/>
    <x v="1"/>
    <s v="Dove Body Cream"/>
    <s v="Dove"/>
    <n v="43"/>
    <n v="77.7"/>
    <n v="40.31"/>
    <x v="0"/>
    <s v="Cash"/>
    <s v="Low Stock"/>
    <n v="3341.1"/>
    <n v="1733.33"/>
    <n v="1607.77"/>
    <x v="1"/>
    <n v="2025"/>
    <n v="0.48120978120978108"/>
  </r>
  <r>
    <s v="ORD1151"/>
    <s v="2025-05-31"/>
    <x v="3"/>
    <s v="Johannesburg"/>
    <x v="4"/>
    <x v="4"/>
    <s v="Colgate Toothpaste"/>
    <s v="Colgate"/>
    <n v="36"/>
    <n v="300.37"/>
    <n v="226.31"/>
    <x v="0"/>
    <s v="Cash"/>
    <s v="In Stock"/>
    <n v="10813.32"/>
    <n v="8147.16"/>
    <n v="2666.16"/>
    <x v="3"/>
    <n v="2025"/>
    <n v="0.2465625728268469"/>
  </r>
  <r>
    <s v="ORD1152"/>
    <s v="2025-01-30"/>
    <x v="1"/>
    <s v="Polokwane"/>
    <x v="2"/>
    <x v="3"/>
    <s v="MAC Lipstick"/>
    <s v="MAC"/>
    <n v="22"/>
    <n v="181.33"/>
    <n v="140.87"/>
    <x v="0"/>
    <s v="Cash"/>
    <s v="Low Stock"/>
    <n v="3989.26"/>
    <n v="3099.14"/>
    <n v="890.11999999999989"/>
    <x v="2"/>
    <n v="2025"/>
    <n v="0.2231291016378977"/>
  </r>
  <r>
    <s v="ORD1153"/>
    <s v="2025-02-13"/>
    <x v="0"/>
    <s v="Cape Town"/>
    <x v="1"/>
    <x v="3"/>
    <s v="Maybelline Mascara"/>
    <s v="Maybelline"/>
    <n v="31"/>
    <n v="108.25"/>
    <n v="71.62"/>
    <x v="0"/>
    <s v="Card"/>
    <s v="Low Stock"/>
    <n v="3355.75"/>
    <n v="2220.2199999999998"/>
    <n v="1135.53"/>
    <x v="1"/>
    <n v="2025"/>
    <n v="0.33838337182448031"/>
  </r>
  <r>
    <s v="ORD1154"/>
    <s v="2025-04-12"/>
    <x v="1"/>
    <s v="Polokwane"/>
    <x v="2"/>
    <x v="0"/>
    <s v="Revlon Perfume"/>
    <s v="Revlon"/>
    <n v="38"/>
    <n v="52.58"/>
    <n v="27.29"/>
    <x v="1"/>
    <s v="Card"/>
    <s v="In Stock"/>
    <n v="1998.04"/>
    <n v="1037.02"/>
    <n v="961.02"/>
    <x v="0"/>
    <n v="2025"/>
    <n v="0.48098136173449979"/>
  </r>
  <r>
    <s v="ORD1155"/>
    <s v="2025-05-05"/>
    <x v="0"/>
    <s v="Cape Town"/>
    <x v="1"/>
    <x v="1"/>
    <s v="Nivea Body Lotion"/>
    <s v="Nivea"/>
    <n v="37"/>
    <n v="195.19"/>
    <n v="105.23"/>
    <x v="0"/>
    <s v="Cash"/>
    <s v="Low Stock"/>
    <n v="7222.03"/>
    <n v="3893.51"/>
    <n v="3328.52"/>
    <x v="3"/>
    <n v="2025"/>
    <n v="0.46088426661201898"/>
  </r>
  <r>
    <s v="ORD1156"/>
    <s v="2025-05-06"/>
    <x v="1"/>
    <s v="Polokwane"/>
    <x v="2"/>
    <x v="1"/>
    <s v="Nivea Body Lotion"/>
    <s v="Nivea"/>
    <n v="12"/>
    <n v="389.11"/>
    <n v="245.99"/>
    <x v="0"/>
    <s v="Cash"/>
    <s v="Out of Stock"/>
    <n v="4669.32"/>
    <n v="2951.88"/>
    <n v="1717.44"/>
    <x v="3"/>
    <n v="2025"/>
    <n v="0.36781372876564461"/>
  </r>
  <r>
    <s v="ORD1157"/>
    <s v="2025-04-02"/>
    <x v="4"/>
    <s v="Pietermaritzburg"/>
    <x v="5"/>
    <x v="4"/>
    <s v="Colgate Toothpaste"/>
    <s v="Colgate"/>
    <n v="23"/>
    <n v="213.68"/>
    <n v="146.4"/>
    <x v="0"/>
    <s v="Card"/>
    <s v="In Stock"/>
    <n v="4914.6400000000003"/>
    <n v="3367.2"/>
    <n v="1547.44"/>
    <x v="0"/>
    <n v="2025"/>
    <n v="0.31486334706102581"/>
  </r>
  <r>
    <s v="ORD1158"/>
    <s v="2025-01-21"/>
    <x v="0"/>
    <s v="Cape Town"/>
    <x v="1"/>
    <x v="1"/>
    <s v="Nivea Body Lotion"/>
    <s v="Nivea"/>
    <n v="9"/>
    <n v="109.92"/>
    <n v="71.209999999999994"/>
    <x v="1"/>
    <s v="Cash"/>
    <s v="Out of Stock"/>
    <n v="989.28"/>
    <n v="640.89"/>
    <n v="348.39"/>
    <x v="2"/>
    <n v="2025"/>
    <n v="0.35216521106259102"/>
  </r>
  <r>
    <s v="ORD1159"/>
    <s v="2025-04-19"/>
    <x v="2"/>
    <s v="East London"/>
    <x v="6"/>
    <x v="2"/>
    <s v="Garnier Conditioner"/>
    <s v="Garnier"/>
    <n v="16"/>
    <n v="361.57"/>
    <n v="279.75"/>
    <x v="0"/>
    <s v="Cash"/>
    <s v="In Stock"/>
    <n v="5785.12"/>
    <n v="4476"/>
    <n v="1309.1199999999999"/>
    <x v="0"/>
    <n v="2025"/>
    <n v="0.22629089802804431"/>
  </r>
  <r>
    <s v="ORD1160"/>
    <s v="2025-03-23"/>
    <x v="1"/>
    <s v="Polokwane"/>
    <x v="2"/>
    <x v="1"/>
    <s v="Nivea Body Lotion"/>
    <s v="Nivea"/>
    <n v="10"/>
    <n v="380.52"/>
    <n v="267.33999999999997"/>
    <x v="0"/>
    <s v="Card"/>
    <s v="Out of Stock"/>
    <n v="3805.2"/>
    <n v="2673.4"/>
    <n v="1131.8"/>
    <x v="4"/>
    <n v="2025"/>
    <n v="0.29743508882581737"/>
  </r>
  <r>
    <s v="ORD1161"/>
    <s v="2025-05-10"/>
    <x v="1"/>
    <s v="Polokwane"/>
    <x v="2"/>
    <x v="3"/>
    <s v="MAC Lipstick"/>
    <s v="MAC"/>
    <n v="24"/>
    <n v="243.6"/>
    <n v="130.63"/>
    <x v="0"/>
    <s v="Card"/>
    <s v="In Stock"/>
    <n v="5846.4"/>
    <n v="3135.12"/>
    <n v="2711.28"/>
    <x v="3"/>
    <n v="2025"/>
    <n v="0.463752052545156"/>
  </r>
  <r>
    <s v="ORD1162"/>
    <s v="2025-01-21"/>
    <x v="1"/>
    <s v="Polokwane"/>
    <x v="2"/>
    <x v="4"/>
    <s v="Dettol Soap"/>
    <s v="Dettol"/>
    <n v="39"/>
    <n v="254.05"/>
    <n v="165.61"/>
    <x v="1"/>
    <s v="Cash"/>
    <s v="Out of Stock"/>
    <n v="9907.9500000000007"/>
    <n v="6458.7900000000009"/>
    <n v="3449.16"/>
    <x v="2"/>
    <n v="2025"/>
    <n v="0.3481204487305648"/>
  </r>
  <r>
    <s v="ORD1163"/>
    <s v="2025-05-17"/>
    <x v="4"/>
    <s v="Pietermaritzburg"/>
    <x v="5"/>
    <x v="1"/>
    <s v="Nivea Body Lotion"/>
    <s v="Nivea"/>
    <n v="49"/>
    <n v="221.8"/>
    <n v="123.5"/>
    <x v="1"/>
    <s v="Cash"/>
    <s v="Low Stock"/>
    <n v="10868.2"/>
    <n v="6051.5"/>
    <n v="4816.7000000000007"/>
    <x v="3"/>
    <n v="2025"/>
    <n v="0.44319206492335439"/>
  </r>
  <r>
    <s v="ORD1164"/>
    <s v="2025-06-16"/>
    <x v="2"/>
    <s v="Port Elizabeth"/>
    <x v="3"/>
    <x v="2"/>
    <s v="Garnier Conditioner"/>
    <s v="Garnier"/>
    <n v="28"/>
    <n v="166.8"/>
    <n v="110.52"/>
    <x v="1"/>
    <s v="Card"/>
    <s v="In Stock"/>
    <n v="4670.4000000000005"/>
    <n v="3094.56"/>
    <n v="1575.8400000000011"/>
    <x v="5"/>
    <n v="2025"/>
    <n v="0.33741007194244621"/>
  </r>
  <r>
    <s v="ORD1165"/>
    <s v="2025-04-12"/>
    <x v="1"/>
    <s v="Polokwane"/>
    <x v="2"/>
    <x v="0"/>
    <s v="Revlon Perfume"/>
    <s v="Revlon"/>
    <n v="26"/>
    <n v="354.47"/>
    <n v="277.39"/>
    <x v="1"/>
    <s v="Card"/>
    <s v="Out of Stock"/>
    <n v="9216.2200000000012"/>
    <n v="7212.1399999999994"/>
    <n v="2004.080000000002"/>
    <x v="0"/>
    <n v="2025"/>
    <n v="0.21745140632493601"/>
  </r>
  <r>
    <s v="ORD1166"/>
    <s v="2025-05-07"/>
    <x v="0"/>
    <s v="Stellenbosch"/>
    <x v="0"/>
    <x v="4"/>
    <s v="Colgate Toothpaste"/>
    <s v="Colgate"/>
    <n v="34"/>
    <n v="335.91"/>
    <n v="194.75"/>
    <x v="0"/>
    <s v="Cash"/>
    <s v="Out of Stock"/>
    <n v="11420.94"/>
    <n v="6621.5"/>
    <n v="4799.4400000000014"/>
    <x v="3"/>
    <n v="2025"/>
    <n v="0.42023160965734868"/>
  </r>
  <r>
    <s v="ORD1167"/>
    <s v="2025-04-20"/>
    <x v="2"/>
    <s v="East London"/>
    <x v="6"/>
    <x v="2"/>
    <s v="Garnier Conditioner"/>
    <s v="Garnier"/>
    <n v="14"/>
    <n v="345.64"/>
    <n v="253"/>
    <x v="1"/>
    <s v="Cash"/>
    <s v="Low Stock"/>
    <n v="4838.96"/>
    <n v="3542"/>
    <n v="1296.96"/>
    <x v="0"/>
    <n v="2025"/>
    <n v="0.26802453419743089"/>
  </r>
  <r>
    <s v="ORD1168"/>
    <s v="2025-01-05"/>
    <x v="1"/>
    <s v="Polokwane"/>
    <x v="2"/>
    <x v="1"/>
    <s v="Nivea Body Lotion"/>
    <s v="Nivea"/>
    <n v="28"/>
    <n v="148.97999999999999"/>
    <n v="97.59"/>
    <x v="0"/>
    <s v="Card"/>
    <s v="Out of Stock"/>
    <n v="4171.4399999999996"/>
    <n v="2732.52"/>
    <n v="1438.92"/>
    <x v="2"/>
    <n v="2025"/>
    <n v="0.34494563028594438"/>
  </r>
  <r>
    <s v="ORD1169"/>
    <s v="2025-02-13"/>
    <x v="2"/>
    <s v="East London"/>
    <x v="6"/>
    <x v="0"/>
    <s v="Revlon Perfume"/>
    <s v="Revlon"/>
    <n v="14"/>
    <n v="182.67"/>
    <n v="110.22"/>
    <x v="0"/>
    <s v="Card"/>
    <s v="In Stock"/>
    <n v="2557.38"/>
    <n v="1543.08"/>
    <n v="1014.3"/>
    <x v="1"/>
    <n v="2025"/>
    <n v="0.39661685005748071"/>
  </r>
  <r>
    <s v="ORD1170"/>
    <s v="2025-03-31"/>
    <x v="1"/>
    <s v="Polokwane"/>
    <x v="2"/>
    <x v="3"/>
    <s v="MAC Lipstick"/>
    <s v="MAC"/>
    <n v="19"/>
    <n v="191.44"/>
    <n v="108.08"/>
    <x v="0"/>
    <s v="Cash"/>
    <s v="Low Stock"/>
    <n v="3637.36"/>
    <n v="2053.52"/>
    <n v="1583.84"/>
    <x v="4"/>
    <n v="2025"/>
    <n v="0.43543669034684501"/>
  </r>
  <r>
    <s v="ORD1171"/>
    <s v="2025-06-28"/>
    <x v="1"/>
    <s v="Polokwane"/>
    <x v="2"/>
    <x v="3"/>
    <s v="Maybelline Mascara"/>
    <s v="Maybelline"/>
    <n v="33"/>
    <n v="178.15"/>
    <n v="126.41"/>
    <x v="0"/>
    <s v="Card"/>
    <s v="Out of Stock"/>
    <n v="5878.95"/>
    <n v="4171.53"/>
    <n v="1707.42"/>
    <x v="5"/>
    <n v="2025"/>
    <n v="0.29042941341566098"/>
  </r>
  <r>
    <s v="ORD1172"/>
    <s v="2025-03-09"/>
    <x v="2"/>
    <s v="Port Elizabeth"/>
    <x v="3"/>
    <x v="0"/>
    <s v="CK Perfume"/>
    <s v="CK"/>
    <n v="21"/>
    <n v="175.28"/>
    <n v="94.13"/>
    <x v="0"/>
    <s v="Cash"/>
    <s v="Out of Stock"/>
    <n v="3680.88"/>
    <n v="1976.73"/>
    <n v="1704.15"/>
    <x v="4"/>
    <n v="2025"/>
    <n v="0.46297352806937481"/>
  </r>
  <r>
    <s v="ORD1173"/>
    <s v="2025-04-12"/>
    <x v="2"/>
    <s v="Port Elizabeth"/>
    <x v="3"/>
    <x v="1"/>
    <s v="Dove Body Cream"/>
    <s v="Dove"/>
    <n v="40"/>
    <n v="156.01"/>
    <n v="124.36"/>
    <x v="1"/>
    <s v="Card"/>
    <s v="Low Stock"/>
    <n v="6240.4"/>
    <n v="4974.3999999999996"/>
    <n v="1266"/>
    <x v="0"/>
    <n v="2025"/>
    <n v="0.2028716107941799"/>
  </r>
  <r>
    <s v="ORD1174"/>
    <s v="2025-02-11"/>
    <x v="2"/>
    <s v="East London"/>
    <x v="6"/>
    <x v="4"/>
    <s v="Colgate Toothpaste"/>
    <s v="Colgate"/>
    <n v="31"/>
    <n v="38.119999999999997"/>
    <n v="29.46"/>
    <x v="1"/>
    <s v="Card"/>
    <s v="In Stock"/>
    <n v="1181.72"/>
    <n v="913.26"/>
    <n v="268.45999999999998"/>
    <x v="1"/>
    <n v="2025"/>
    <n v="0.22717733473242399"/>
  </r>
  <r>
    <s v="ORD1175"/>
    <s v="2025-06-23"/>
    <x v="0"/>
    <s v="Stellenbosch"/>
    <x v="0"/>
    <x v="4"/>
    <s v="Colgate Toothpaste"/>
    <s v="Colgate"/>
    <n v="43"/>
    <n v="92.69"/>
    <n v="58.59"/>
    <x v="1"/>
    <s v="Card"/>
    <s v="In Stock"/>
    <n v="3985.67"/>
    <n v="2519.37"/>
    <n v="1466.3"/>
    <x v="5"/>
    <n v="2025"/>
    <n v="0.36789297658862868"/>
  </r>
  <r>
    <s v="ORD1176"/>
    <s v="2025-01-06"/>
    <x v="0"/>
    <s v="Cape Town"/>
    <x v="1"/>
    <x v="2"/>
    <s v="Garnier Conditioner"/>
    <s v="Garnier"/>
    <n v="16"/>
    <n v="168.38"/>
    <n v="125.47"/>
    <x v="0"/>
    <s v="Card"/>
    <s v="Out of Stock"/>
    <n v="2694.08"/>
    <n v="2007.52"/>
    <n v="686.56"/>
    <x v="2"/>
    <n v="2025"/>
    <n v="0.25484024230906283"/>
  </r>
  <r>
    <s v="ORD1177"/>
    <s v="2025-01-02"/>
    <x v="4"/>
    <s v="Durban"/>
    <x v="7"/>
    <x v="0"/>
    <s v="CK Perfume"/>
    <s v="CK"/>
    <n v="17"/>
    <n v="281.56"/>
    <n v="167.88"/>
    <x v="0"/>
    <s v="Card"/>
    <s v="In Stock"/>
    <n v="4786.5200000000004"/>
    <n v="2853.96"/>
    <n v="1932.56"/>
    <x v="2"/>
    <n v="2025"/>
    <n v="0.40375053274612882"/>
  </r>
  <r>
    <s v="ORD1178"/>
    <s v="2025-03-09"/>
    <x v="3"/>
    <s v="Johannesburg"/>
    <x v="4"/>
    <x v="1"/>
    <s v="Dove Body Cream"/>
    <s v="Dove"/>
    <n v="32"/>
    <n v="394.87"/>
    <n v="215.88"/>
    <x v="0"/>
    <s v="Cash"/>
    <s v="In Stock"/>
    <n v="12635.84"/>
    <n v="6908.16"/>
    <n v="5727.68"/>
    <x v="4"/>
    <n v="2025"/>
    <n v="0.45328842403829112"/>
  </r>
  <r>
    <s v="ORD1179"/>
    <s v="2025-06-02"/>
    <x v="1"/>
    <s v="Polokwane"/>
    <x v="2"/>
    <x v="3"/>
    <s v="MAC Lipstick"/>
    <s v="MAC"/>
    <n v="38"/>
    <n v="357.14"/>
    <n v="215.53"/>
    <x v="0"/>
    <s v="Card"/>
    <s v="Out of Stock"/>
    <n v="13571.32"/>
    <n v="8190.14"/>
    <n v="5381.1799999999994"/>
    <x v="5"/>
    <n v="2025"/>
    <n v="0.3965111720893767"/>
  </r>
  <r>
    <s v="ORD1180"/>
    <s v="2025-03-23"/>
    <x v="3"/>
    <s v="Pretoria"/>
    <x v="8"/>
    <x v="0"/>
    <s v="CK Perfume"/>
    <s v="CK"/>
    <n v="43"/>
    <n v="197.61"/>
    <n v="155.18"/>
    <x v="0"/>
    <s v="Card"/>
    <s v="In Stock"/>
    <n v="8497.2300000000014"/>
    <n v="6672.7400000000007"/>
    <n v="1824.4900000000009"/>
    <x v="4"/>
    <n v="2025"/>
    <n v="0.21471585446080671"/>
  </r>
  <r>
    <s v="ORD1181"/>
    <s v="2025-05-25"/>
    <x v="2"/>
    <s v="East London"/>
    <x v="6"/>
    <x v="1"/>
    <s v="Nivea Body Lotion"/>
    <s v="Nivea"/>
    <n v="25"/>
    <n v="397.78"/>
    <n v="202.91"/>
    <x v="1"/>
    <s v="Cash"/>
    <s v="Low Stock"/>
    <n v="9944.5"/>
    <n v="5072.75"/>
    <n v="4871.75"/>
    <x v="3"/>
    <n v="2025"/>
    <n v="0.48989391120719988"/>
  </r>
  <r>
    <s v="ORD1182"/>
    <s v="2025-01-09"/>
    <x v="4"/>
    <s v="Pietermaritzburg"/>
    <x v="5"/>
    <x v="2"/>
    <s v="Garnier Conditioner"/>
    <s v="Garnier"/>
    <n v="18"/>
    <n v="97.32"/>
    <n v="51.94"/>
    <x v="1"/>
    <s v="Card"/>
    <s v="Low Stock"/>
    <n v="1751.76"/>
    <n v="934.92"/>
    <n v="816.8399999999998"/>
    <x v="2"/>
    <n v="2025"/>
    <n v="0.46629675297986017"/>
  </r>
  <r>
    <s v="ORD1183"/>
    <s v="2025-04-17"/>
    <x v="1"/>
    <s v="Polokwane"/>
    <x v="2"/>
    <x v="0"/>
    <s v="CK Perfume"/>
    <s v="CK"/>
    <n v="16"/>
    <n v="188.6"/>
    <n v="141.59"/>
    <x v="1"/>
    <s v="Cash"/>
    <s v="Out of Stock"/>
    <n v="3017.6"/>
    <n v="2265.44"/>
    <n v="752.15999999999985"/>
    <x v="0"/>
    <n v="2025"/>
    <n v="0.2492576882290562"/>
  </r>
  <r>
    <s v="ORD1184"/>
    <s v="2025-06-28"/>
    <x v="3"/>
    <s v="Pretoria"/>
    <x v="8"/>
    <x v="4"/>
    <s v="Dettol Soap"/>
    <s v="Dettol"/>
    <n v="6"/>
    <n v="268.02999999999997"/>
    <n v="198.32"/>
    <x v="1"/>
    <s v="Cash"/>
    <s v="Low Stock"/>
    <n v="1608.18"/>
    <n v="1189.92"/>
    <n v="418.25999999999982"/>
    <x v="5"/>
    <n v="2025"/>
    <n v="0.26008282654926668"/>
  </r>
  <r>
    <s v="ORD1185"/>
    <s v="2025-05-19"/>
    <x v="3"/>
    <s v="Johannesburg"/>
    <x v="4"/>
    <x v="0"/>
    <s v="Revlon Perfume"/>
    <s v="Revlon"/>
    <n v="30"/>
    <n v="55.79"/>
    <n v="33.43"/>
    <x v="1"/>
    <s v="Card"/>
    <s v="In Stock"/>
    <n v="1673.7"/>
    <n v="1002.9"/>
    <n v="670.80000000000007"/>
    <x v="3"/>
    <n v="2025"/>
    <n v="0.40078867180498301"/>
  </r>
  <r>
    <s v="ORD1186"/>
    <s v="2025-04-01"/>
    <x v="0"/>
    <s v="Cape Town"/>
    <x v="1"/>
    <x v="2"/>
    <s v="Dove Shampoo"/>
    <s v="Dove"/>
    <n v="22"/>
    <n v="100.49"/>
    <n v="72.430000000000007"/>
    <x v="0"/>
    <s v="Card"/>
    <s v="Out of Stock"/>
    <n v="2210.7800000000002"/>
    <n v="1593.46"/>
    <n v="617.31999999999971"/>
    <x v="0"/>
    <n v="2025"/>
    <n v="0.27923176435466213"/>
  </r>
  <r>
    <s v="ORD1187"/>
    <s v="2025-03-06"/>
    <x v="0"/>
    <s v="Cape Town"/>
    <x v="1"/>
    <x v="1"/>
    <s v="Nivea Body Lotion"/>
    <s v="Nivea"/>
    <n v="28"/>
    <n v="225.75"/>
    <n v="125.07"/>
    <x v="1"/>
    <s v="Card"/>
    <s v="Low Stock"/>
    <n v="6321"/>
    <n v="3501.96"/>
    <n v="2819.04"/>
    <x v="4"/>
    <n v="2025"/>
    <n v="0.44598006644518268"/>
  </r>
  <r>
    <s v="ORD1188"/>
    <s v="2025-06-07"/>
    <x v="1"/>
    <s v="Polokwane"/>
    <x v="2"/>
    <x v="0"/>
    <s v="CK Perfume"/>
    <s v="CK"/>
    <n v="46"/>
    <n v="112.21"/>
    <n v="58.87"/>
    <x v="1"/>
    <s v="Card"/>
    <s v="Low Stock"/>
    <n v="5161.66"/>
    <n v="2708.02"/>
    <n v="2453.64"/>
    <x v="5"/>
    <n v="2025"/>
    <n v="0.47535870243293821"/>
  </r>
  <r>
    <s v="ORD1189"/>
    <s v="2025-04-23"/>
    <x v="2"/>
    <s v="Port Elizabeth"/>
    <x v="3"/>
    <x v="0"/>
    <s v="Revlon Perfume"/>
    <s v="Revlon"/>
    <n v="15"/>
    <n v="290.33"/>
    <n v="184.95"/>
    <x v="0"/>
    <s v="Cash"/>
    <s v="In Stock"/>
    <n v="4354.95"/>
    <n v="2774.25"/>
    <n v="1580.7"/>
    <x v="0"/>
    <n v="2025"/>
    <n v="0.36296627975062862"/>
  </r>
  <r>
    <s v="ORD1190"/>
    <s v="2025-02-07"/>
    <x v="1"/>
    <s v="Polokwane"/>
    <x v="2"/>
    <x v="2"/>
    <s v="Garnier Conditioner"/>
    <s v="Garnier"/>
    <n v="25"/>
    <n v="307.33999999999997"/>
    <n v="190.21"/>
    <x v="0"/>
    <s v="Cash"/>
    <s v="In Stock"/>
    <n v="7683.4999999999991"/>
    <n v="4755.25"/>
    <n v="2928.2499999999991"/>
    <x v="1"/>
    <n v="2025"/>
    <n v="0.38110886965575569"/>
  </r>
  <r>
    <s v="ORD1191"/>
    <s v="2025-04-28"/>
    <x v="2"/>
    <s v="Port Elizabeth"/>
    <x v="3"/>
    <x v="1"/>
    <s v="Nivea Body Lotion"/>
    <s v="Nivea"/>
    <n v="16"/>
    <n v="353.91"/>
    <n v="203.02"/>
    <x v="0"/>
    <s v="Cash"/>
    <s v="In Stock"/>
    <n v="5662.56"/>
    <n v="3248.32"/>
    <n v="2414.2399999999998"/>
    <x v="0"/>
    <n v="2025"/>
    <n v="0.42635133225961402"/>
  </r>
  <r>
    <s v="ORD1192"/>
    <s v="2025-01-03"/>
    <x v="2"/>
    <s v="East London"/>
    <x v="6"/>
    <x v="3"/>
    <s v="Maybelline Mascara"/>
    <s v="Maybelline"/>
    <n v="5"/>
    <n v="207.54"/>
    <n v="141.83000000000001"/>
    <x v="0"/>
    <s v="Cash"/>
    <s v="Low Stock"/>
    <n v="1037.7"/>
    <n v="709.15000000000009"/>
    <n v="328.55"/>
    <x v="2"/>
    <n v="2025"/>
    <n v="0.31661366483569431"/>
  </r>
  <r>
    <s v="ORD1193"/>
    <s v="2025-06-14"/>
    <x v="2"/>
    <s v="Port Elizabeth"/>
    <x v="3"/>
    <x v="3"/>
    <s v="Maybelline Mascara"/>
    <s v="Maybelline"/>
    <n v="27"/>
    <n v="26.76"/>
    <n v="15.24"/>
    <x v="1"/>
    <s v="Cash"/>
    <s v="In Stock"/>
    <n v="722.5200000000001"/>
    <n v="411.48"/>
    <n v="311.04000000000008"/>
    <x v="5"/>
    <n v="2025"/>
    <n v="0.43049327354260097"/>
  </r>
  <r>
    <s v="ORD1194"/>
    <s v="2025-01-08"/>
    <x v="0"/>
    <s v="Stellenbosch"/>
    <x v="0"/>
    <x v="4"/>
    <s v="Dettol Soap"/>
    <s v="Dettol"/>
    <n v="37"/>
    <n v="249.67"/>
    <n v="157.38999999999999"/>
    <x v="0"/>
    <s v="Cash"/>
    <s v="In Stock"/>
    <n v="9237.7899999999991"/>
    <n v="5823.4299999999994"/>
    <n v="3414.36"/>
    <x v="2"/>
    <n v="2025"/>
    <n v="0.36960788240477432"/>
  </r>
  <r>
    <s v="ORD1195"/>
    <s v="2025-02-14"/>
    <x v="1"/>
    <s v="Polokwane"/>
    <x v="2"/>
    <x v="1"/>
    <s v="Nivea Body Lotion"/>
    <s v="Nivea"/>
    <n v="50"/>
    <n v="90.96"/>
    <n v="70.430000000000007"/>
    <x v="0"/>
    <s v="Cash"/>
    <s v="Out of Stock"/>
    <n v="4548"/>
    <n v="3521.5"/>
    <n v="1026.5"/>
    <x v="1"/>
    <n v="2025"/>
    <n v="0.2257036059806507"/>
  </r>
  <r>
    <s v="ORD1196"/>
    <s v="2025-02-22"/>
    <x v="0"/>
    <s v="Stellenbosch"/>
    <x v="0"/>
    <x v="1"/>
    <s v="Nivea Body Lotion"/>
    <s v="Nivea"/>
    <n v="41"/>
    <n v="336.7"/>
    <n v="179.31"/>
    <x v="1"/>
    <s v="Card"/>
    <s v="Low Stock"/>
    <n v="13804.7"/>
    <n v="7351.71"/>
    <n v="6452.9899999999989"/>
    <x v="1"/>
    <n v="2025"/>
    <n v="0.4674487674487674"/>
  </r>
  <r>
    <s v="ORD1197"/>
    <s v="2025-01-22"/>
    <x v="1"/>
    <s v="Polokwane"/>
    <x v="2"/>
    <x v="1"/>
    <s v="Nivea Body Lotion"/>
    <s v="Nivea"/>
    <n v="42"/>
    <n v="278.06"/>
    <n v="162.66999999999999"/>
    <x v="0"/>
    <s v="Cash"/>
    <s v="Low Stock"/>
    <n v="11678.52"/>
    <n v="6832.1399999999994"/>
    <n v="4846.380000000001"/>
    <x v="2"/>
    <n v="2025"/>
    <n v="0.41498237790404963"/>
  </r>
  <r>
    <s v="ORD1198"/>
    <s v="2025-02-13"/>
    <x v="0"/>
    <s v="Stellenbosch"/>
    <x v="0"/>
    <x v="3"/>
    <s v="MAC Lipstick"/>
    <s v="MAC"/>
    <n v="45"/>
    <n v="96.19"/>
    <n v="61.7"/>
    <x v="0"/>
    <s v="Cash"/>
    <s v="In Stock"/>
    <n v="4328.55"/>
    <n v="2776.5"/>
    <n v="1552.05"/>
    <x v="1"/>
    <n v="2025"/>
    <n v="0.35856118099594553"/>
  </r>
  <r>
    <s v="ORD1199"/>
    <s v="2025-02-24"/>
    <x v="3"/>
    <s v="Johannesburg"/>
    <x v="4"/>
    <x v="4"/>
    <s v="Colgate Toothpaste"/>
    <s v="Colgate"/>
    <n v="32"/>
    <n v="157.77000000000001"/>
    <n v="89.99"/>
    <x v="1"/>
    <s v="Cash"/>
    <s v="Low Stock"/>
    <n v="5048.6400000000003"/>
    <n v="2879.68"/>
    <n v="2168.96"/>
    <x v="1"/>
    <n v="2025"/>
    <n v="0.42961272738796991"/>
  </r>
  <r>
    <s v="ORD1200"/>
    <s v="2025-03-15"/>
    <x v="4"/>
    <s v="Durban"/>
    <x v="7"/>
    <x v="0"/>
    <s v="CK Perfume"/>
    <s v="CK"/>
    <n v="41"/>
    <n v="124.13"/>
    <n v="83.98"/>
    <x v="1"/>
    <s v="Cash"/>
    <s v="Low Stock"/>
    <n v="5089.33"/>
    <n v="3443.18"/>
    <n v="1646.15"/>
    <x v="4"/>
    <n v="2025"/>
    <n v="0.323451220494642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56CB3D-A468-4860-A64C-EDA5372E2E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4" firstHeaderRow="0"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dataField="1" numFmtId="164" showAll="0"/>
    <pivotField showAll="0"/>
    <pivotField showAll="0"/>
    <pivotField numFmtId="165" showAll="0"/>
  </pivotFields>
  <rowItems count="1">
    <i/>
  </rowItems>
  <colFields count="1">
    <field x="-2"/>
  </colFields>
  <colItems count="2">
    <i>
      <x/>
    </i>
    <i i="1">
      <x v="1"/>
    </i>
  </colItems>
  <dataFields count="2">
    <dataField name="Sum of Profit" fld="16" baseField="0" baseItem="0" numFmtId="164"/>
    <dataField name="Sum of Revenue"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FBE23-9BEC-46BE-BDCE-A8775681E7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10:K16" firstHeaderRow="0" firstDataRow="1" firstDataCol="1"/>
  <pivotFields count="20">
    <pivotField showAll="0"/>
    <pivotField showAll="0"/>
    <pivotField showAll="0"/>
    <pivotField showAll="0"/>
    <pivotField showAll="0"/>
    <pivotField axis="axisRow" showAll="0">
      <items count="6">
        <item x="0"/>
        <item x="2"/>
        <item x="3"/>
        <item x="1"/>
        <item x="4"/>
        <item t="default"/>
      </items>
    </pivotField>
    <pivotField showAll="0"/>
    <pivotField showAll="0"/>
    <pivotField showAll="0"/>
    <pivotField showAll="0"/>
    <pivotField showAll="0"/>
    <pivotField showAll="0"/>
    <pivotField showAll="0"/>
    <pivotField showAll="0"/>
    <pivotField dataField="1" numFmtId="164" showAll="0"/>
    <pivotField numFmtId="164" showAll="0"/>
    <pivotField dataField="1" numFmtId="164" showAll="0"/>
    <pivotField showAll="0"/>
    <pivotField showAll="0"/>
    <pivotField numFmtId="165" showAll="0"/>
  </pivotFields>
  <rowFields count="1">
    <field x="5"/>
  </rowFields>
  <rowItems count="6">
    <i>
      <x/>
    </i>
    <i>
      <x v="1"/>
    </i>
    <i>
      <x v="2"/>
    </i>
    <i>
      <x v="3"/>
    </i>
    <i>
      <x v="4"/>
    </i>
    <i t="grand">
      <x/>
    </i>
  </rowItems>
  <colFields count="1">
    <field x="-2"/>
  </colFields>
  <colItems count="2">
    <i>
      <x/>
    </i>
    <i i="1">
      <x v="1"/>
    </i>
  </colItems>
  <dataFields count="2">
    <dataField name="Revenue   " fld="14" baseField="5" baseItem="0" numFmtId="164"/>
    <dataField name="Profit " fld="16" baseField="5" baseItem="0" numFmtId="164"/>
  </dataFields>
  <chartFormats count="2">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9D331-05D9-4731-A563-92368D197B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numFmtId="164" showAll="0"/>
    <pivotField showAll="0"/>
    <pivotField showAll="0"/>
    <pivotField numFmtId="165" showAll="0"/>
  </pivotFields>
  <rowItems count="1">
    <i/>
  </rowItems>
  <colItems count="1">
    <i/>
  </colItems>
  <dataFields count="1">
    <dataField name="Sum of Revenue"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6F6891-6DC4-4456-B545-B71CC6C42A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B1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164" showAll="0"/>
    <pivotField numFmtId="164" showAll="0"/>
    <pivotField axis="axisRow" showAll="0">
      <items count="7">
        <item x="2"/>
        <item x="1"/>
        <item x="4"/>
        <item x="0"/>
        <item x="3"/>
        <item x="5"/>
        <item t="default"/>
      </items>
    </pivotField>
    <pivotField showAll="0"/>
    <pivotField numFmtId="165" showAll="0"/>
  </pivotFields>
  <rowFields count="1">
    <field x="17"/>
  </rowFields>
  <rowItems count="7">
    <i>
      <x/>
    </i>
    <i>
      <x v="1"/>
    </i>
    <i>
      <x v="2"/>
    </i>
    <i>
      <x v="3"/>
    </i>
    <i>
      <x v="4"/>
    </i>
    <i>
      <x v="5"/>
    </i>
    <i t="grand">
      <x/>
    </i>
  </rowItems>
  <colItems count="1">
    <i/>
  </colItems>
  <dataFields count="1">
    <dataField name="Revenue " fld="14" baseField="17" baseItem="2"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E44A3-4EB7-4E22-A1A2-6160F955BB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10:F16" firstHeaderRow="1" firstDataRow="1" firstDataCol="1"/>
  <pivotFields count="20">
    <pivotField showAll="0"/>
    <pivotField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h="1" x="0"/>
        <item h="1" x="2"/>
        <item h="1" x="3"/>
        <item x="1"/>
        <item h="1" x="4"/>
        <item t="default"/>
      </items>
    </pivotField>
    <pivotField showAll="0"/>
    <pivotField showAll="0"/>
    <pivotField showAll="0"/>
    <pivotField showAll="0"/>
    <pivotField showAll="0"/>
    <pivotField showAll="0">
      <items count="3">
        <item x="1"/>
        <item x="0"/>
        <item t="default"/>
      </items>
    </pivotField>
    <pivotField showAll="0"/>
    <pivotField showAll="0"/>
    <pivotField dataField="1" numFmtId="164" showAll="0"/>
    <pivotField numFmtId="164" showAll="0"/>
    <pivotField numFmtId="164" showAll="0"/>
    <pivotField showAll="0">
      <items count="7">
        <item x="2"/>
        <item x="1"/>
        <item x="4"/>
        <item x="0"/>
        <item x="3"/>
        <item x="5"/>
        <item t="default"/>
      </items>
    </pivotField>
    <pivotField showAll="0"/>
    <pivotField numFmtId="165" showAll="0"/>
  </pivotFields>
  <rowFields count="1">
    <field x="2"/>
  </rowFields>
  <rowItems count="6">
    <i>
      <x/>
    </i>
    <i>
      <x v="3"/>
    </i>
    <i>
      <x v="4"/>
    </i>
    <i>
      <x v="1"/>
    </i>
    <i>
      <x v="2"/>
    </i>
    <i t="grand">
      <x/>
    </i>
  </rowItems>
  <colItems count="1">
    <i/>
  </colItems>
  <dataFields count="1">
    <dataField name="Revenue  " fld="14" baseField="0" baseItem="0" numFmtId="164"/>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7FC3D-86C2-4EB6-86C6-5516D8EE6F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numFmtId="164" showAll="0"/>
    <pivotField numFmtId="164" showAll="0"/>
    <pivotField showAll="0"/>
    <pivotField showAll="0"/>
    <pivotField numFmtId="165" showAll="0"/>
  </pivotFields>
  <rowItems count="1">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8372E4-8430-42E2-94AC-895781A4F1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dataField="1" numFmtId="164" showAll="0"/>
    <pivotField showAll="0"/>
    <pivotField showAll="0"/>
    <pivotField numFmtId="165" showAll="0"/>
  </pivotFields>
  <rowItems count="1">
    <i/>
  </rowItems>
  <colItems count="1">
    <i/>
  </colItems>
  <dataFields count="1">
    <dataField name="Sum of Profit"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AB81C-AE35-4085-AA2C-63E40049E2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5:B35" firstHeaderRow="1" firstDataRow="1" firstDataCol="1"/>
  <pivotFields count="20">
    <pivotField showAll="0"/>
    <pivotField showAll="0"/>
    <pivotField showAll="0"/>
    <pivotField showAll="0"/>
    <pivotField axis="axisRow" showAll="0" sortType="descending">
      <items count="10">
        <item x="1"/>
        <item x="7"/>
        <item x="6"/>
        <item x="4"/>
        <item x="5"/>
        <item x="2"/>
        <item x="3"/>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4" showAll="0"/>
    <pivotField numFmtId="164" showAll="0"/>
    <pivotField numFmtId="164" showAll="0"/>
    <pivotField showAll="0"/>
    <pivotField showAll="0"/>
    <pivotField numFmtId="165" showAll="0"/>
  </pivotFields>
  <rowFields count="1">
    <field x="4"/>
  </rowFields>
  <rowItems count="10">
    <i>
      <x v="5"/>
    </i>
    <i>
      <x v="4"/>
    </i>
    <i>
      <x v="8"/>
    </i>
    <i>
      <x/>
    </i>
    <i>
      <x v="6"/>
    </i>
    <i>
      <x v="2"/>
    </i>
    <i>
      <x v="7"/>
    </i>
    <i>
      <x v="3"/>
    </i>
    <i>
      <x v="1"/>
    </i>
    <i t="grand">
      <x/>
    </i>
  </rowItems>
  <colItems count="1">
    <i/>
  </colItems>
  <dataFields count="1">
    <dataField name="Revenue     " fld="14" baseField="4" baseItem="5" numFmtId="164"/>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E92D6D0-E9EB-4981-8C1A-EB3D3CE6A66E}" sourceName="Month">
  <pivotTables>
    <pivotTable tabId="2" name="PivotTable6"/>
  </pivotTables>
  <data>
    <tabular pivotCacheId="1360090182">
      <items count="6">
        <i x="2" s="1"/>
        <i x="1" s="1"/>
        <i x="4"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B9C4C9C3-DAB7-4EE9-9D7A-94222ACA5276}" sourceName="Promotion">
  <pivotTables>
    <pivotTable tabId="2" name="PivotTable6"/>
  </pivotTables>
  <data>
    <tabular pivotCacheId="13600901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58C65D5-1053-4090-8190-D30FCAD56744}" sourceName="Product_Category">
  <pivotTables>
    <pivotTable tabId="2" name="PivotTable6"/>
  </pivotTables>
  <data>
    <tabular pivotCacheId="1360090182">
      <items count="5">
        <i x="0"/>
        <i x="2"/>
        <i x="3"/>
        <i x="1"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84CFFD77-FEEF-4D01-9BFD-5F0C5B09C1AB}" sourceName="Province">
  <pivotTables>
    <pivotTable tabId="2" name="PivotTable6"/>
  </pivotTables>
  <data>
    <tabular pivotCacheId="1360090182">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EAD99BD-C709-48CC-A25A-C90B74607E1D}" cache="Slicer_Month" caption="Month" startItem="1" rowHeight="241300"/>
  <slicer name="Promotion" xr10:uid="{A9090075-4F19-40A6-B90F-3C0F81201DF5}" cache="Slicer_Promotion" caption="Promotion" rowHeight="241300"/>
  <slicer name="Product_Category" xr10:uid="{628F8652-2C25-4FE0-9405-33ABEBAE76C6}" cache="Slicer_Product_Category" caption="Product_Category" rowHeight="241300"/>
  <slicer name="Province" xr10:uid="{90631D9B-0637-41DE-988A-4454E6BCD468}" cache="Slicer_Province" caption="Province"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34A9A-F143-4D39-9D33-1340589D255E}" name="Table1" displayName="Table1" ref="A1:T201" totalsRowShown="0">
  <autoFilter ref="A1:T201" xr:uid="{32834A9A-F143-4D39-9D33-1340589D255E}"/>
  <tableColumns count="20">
    <tableColumn id="1" xr3:uid="{0F724A54-A106-432A-AA42-DA0DFC025591}" name="Order_ID"/>
    <tableColumn id="2" xr3:uid="{C168DA35-C45C-4C4F-A3AC-651478755686}" name="Order_Date"/>
    <tableColumn id="3" xr3:uid="{91996AC3-9FDC-4D0B-9E87-F23C642A0008}" name="Province"/>
    <tableColumn id="4" xr3:uid="{B2AA4FD4-C874-4E1C-9B85-9BE9BEA1F0FA}" name="City"/>
    <tableColumn id="5" xr3:uid="{50D2D306-CE50-4DF1-A5A8-C8C664FF5FB6}" name="Store_Name"/>
    <tableColumn id="6" xr3:uid="{4EBF446D-020F-40B6-876E-724F40DF7000}" name="Product_Category"/>
    <tableColumn id="7" xr3:uid="{F5F93D33-E374-4630-9956-FD9638DFEF0B}" name="Product_Name"/>
    <tableColumn id="8" xr3:uid="{77DD2BCD-95DA-417C-B850-87C4C3F12143}" name="Brand"/>
    <tableColumn id="9" xr3:uid="{0908FB2B-B969-45AD-9ECF-AB0C9DFFC0EE}" name="Units_Sold"/>
    <tableColumn id="10" xr3:uid="{588AA984-1FFC-42DC-A53F-C7822731D908}" name="Unit_Price"/>
    <tableColumn id="11" xr3:uid="{4633B4DC-B797-48D8-A211-74D20B9050E7}" name="Cost_Price"/>
    <tableColumn id="12" xr3:uid="{A141B0F4-B5E1-482A-B0A1-70261B9EA62D}" name="Promotion"/>
    <tableColumn id="13" xr3:uid="{1138FAB6-D7B0-4AFC-A424-16C386F81824}" name="Payment_Method"/>
    <tableColumn id="14" xr3:uid="{28368313-CB43-4895-91C2-DCBDA21F9895}" name="Stock_Availability"/>
    <tableColumn id="15" xr3:uid="{B50C2D22-0921-4265-B8A5-5E834D692A54}" name="Revenue" dataDxfId="3"/>
    <tableColumn id="16" xr3:uid="{97E8EC2E-E8B6-46A1-AF8A-62DF21645CFA}" name="Total_Cost" dataDxfId="2"/>
    <tableColumn id="17" xr3:uid="{CDB72782-0BD6-4AA4-BBB1-48F889E3F0A0}" name="Profit" dataDxfId="1"/>
    <tableColumn id="18" xr3:uid="{972CFA55-B2FA-4639-A2F9-30E79CE96FF9}" name="Month"/>
    <tableColumn id="19" xr3:uid="{823B7227-B80F-4362-87C6-154545C7ACB4}" name="Year"/>
    <tableColumn id="20" xr3:uid="{0CD8C86A-890E-45FE-A295-FCEBE57BEB60}" name="Gross_Margin_%"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1"/>
  <sheetViews>
    <sheetView workbookViewId="0">
      <selection activeCell="E12" sqref="E12"/>
    </sheetView>
  </sheetViews>
  <sheetFormatPr defaultRowHeight="14.5" x14ac:dyDescent="0.35"/>
  <cols>
    <col min="1" max="1" width="10.54296875" customWidth="1"/>
    <col min="2" max="2" width="12.7265625" customWidth="1"/>
    <col min="3" max="3" width="10" customWidth="1"/>
    <col min="5" max="5" width="13.1796875" customWidth="1"/>
    <col min="6" max="6" width="17.90625" customWidth="1"/>
    <col min="7" max="7" width="15.36328125" customWidth="1"/>
    <col min="9" max="9" width="11.7265625" customWidth="1"/>
    <col min="10" max="10" width="11.453125" customWidth="1"/>
    <col min="11" max="11" width="11.6328125" customWidth="1"/>
    <col min="12" max="12" width="11.81640625" customWidth="1"/>
    <col min="13" max="13" width="18" customWidth="1"/>
    <col min="14" max="14" width="17.453125" customWidth="1"/>
    <col min="15" max="15" width="10" style="1" customWidth="1"/>
    <col min="16" max="16" width="11.81640625" style="1" customWidth="1"/>
    <col min="17" max="17" width="8.90625" style="1" bestFit="1" customWidth="1"/>
    <col min="20" max="20" width="16.90625" style="2"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s="1" t="s">
        <v>14</v>
      </c>
      <c r="P1" s="1" t="s">
        <v>15</v>
      </c>
      <c r="Q1" s="1" t="s">
        <v>16</v>
      </c>
      <c r="R1" t="s">
        <v>17</v>
      </c>
      <c r="S1" t="s">
        <v>18</v>
      </c>
      <c r="T1" s="2" t="s">
        <v>19</v>
      </c>
    </row>
    <row r="2" spans="1:20" x14ac:dyDescent="0.35">
      <c r="A2" t="s">
        <v>20</v>
      </c>
      <c r="B2" t="s">
        <v>21</v>
      </c>
      <c r="C2" t="s">
        <v>22</v>
      </c>
      <c r="D2" t="s">
        <v>23</v>
      </c>
      <c r="E2" t="s">
        <v>24</v>
      </c>
      <c r="F2" t="s">
        <v>25</v>
      </c>
      <c r="G2" t="s">
        <v>26</v>
      </c>
      <c r="H2" t="s">
        <v>27</v>
      </c>
      <c r="I2">
        <v>17</v>
      </c>
      <c r="J2">
        <v>312.77</v>
      </c>
      <c r="K2">
        <v>190.68</v>
      </c>
      <c r="L2" t="s">
        <v>28</v>
      </c>
      <c r="M2" t="s">
        <v>29</v>
      </c>
      <c r="N2" t="s">
        <v>30</v>
      </c>
      <c r="O2" s="1">
        <v>5317.09</v>
      </c>
      <c r="P2" s="1">
        <v>3241.56</v>
      </c>
      <c r="Q2" s="1">
        <v>2075.5300000000002</v>
      </c>
      <c r="R2" t="s">
        <v>31</v>
      </c>
      <c r="S2">
        <v>2025</v>
      </c>
      <c r="T2" s="2">
        <v>0.39035073696326378</v>
      </c>
    </row>
    <row r="3" spans="1:20" x14ac:dyDescent="0.35">
      <c r="A3" t="s">
        <v>32</v>
      </c>
      <c r="B3" t="s">
        <v>33</v>
      </c>
      <c r="C3" t="s">
        <v>22</v>
      </c>
      <c r="D3" t="s">
        <v>34</v>
      </c>
      <c r="E3" t="s">
        <v>35</v>
      </c>
      <c r="F3" t="s">
        <v>36</v>
      </c>
      <c r="G3" t="s">
        <v>37</v>
      </c>
      <c r="H3" t="s">
        <v>38</v>
      </c>
      <c r="I3">
        <v>8</v>
      </c>
      <c r="J3">
        <v>207.68</v>
      </c>
      <c r="K3">
        <v>126.9</v>
      </c>
      <c r="L3" t="s">
        <v>28</v>
      </c>
      <c r="M3" t="s">
        <v>39</v>
      </c>
      <c r="N3" t="s">
        <v>40</v>
      </c>
      <c r="O3" s="1">
        <v>1661.44</v>
      </c>
      <c r="P3" s="1">
        <v>1015.2</v>
      </c>
      <c r="Q3" s="1">
        <v>646.24</v>
      </c>
      <c r="R3" t="s">
        <v>41</v>
      </c>
      <c r="S3">
        <v>2025</v>
      </c>
      <c r="T3" s="2">
        <v>0.38896379044684132</v>
      </c>
    </row>
    <row r="4" spans="1:20" x14ac:dyDescent="0.35">
      <c r="A4" t="s">
        <v>42</v>
      </c>
      <c r="B4" t="s">
        <v>43</v>
      </c>
      <c r="C4" t="s">
        <v>44</v>
      </c>
      <c r="D4" t="s">
        <v>45</v>
      </c>
      <c r="E4" t="s">
        <v>46</v>
      </c>
      <c r="F4" t="s">
        <v>47</v>
      </c>
      <c r="G4" t="s">
        <v>48</v>
      </c>
      <c r="H4" t="s">
        <v>49</v>
      </c>
      <c r="I4">
        <v>16</v>
      </c>
      <c r="J4">
        <v>74.86</v>
      </c>
      <c r="K4">
        <v>52.7</v>
      </c>
      <c r="L4" t="s">
        <v>28</v>
      </c>
      <c r="M4" t="s">
        <v>29</v>
      </c>
      <c r="N4" t="s">
        <v>40</v>
      </c>
      <c r="O4" s="1">
        <v>1197.76</v>
      </c>
      <c r="P4" s="1">
        <v>843.2</v>
      </c>
      <c r="Q4" s="1">
        <v>354.55999999999989</v>
      </c>
      <c r="R4" t="s">
        <v>50</v>
      </c>
      <c r="S4">
        <v>2025</v>
      </c>
      <c r="T4" s="2">
        <v>0.29601923590702639</v>
      </c>
    </row>
    <row r="5" spans="1:20" x14ac:dyDescent="0.35">
      <c r="A5" t="s">
        <v>51</v>
      </c>
      <c r="B5" t="s">
        <v>52</v>
      </c>
      <c r="C5" t="s">
        <v>44</v>
      </c>
      <c r="D5" t="s">
        <v>45</v>
      </c>
      <c r="E5" t="s">
        <v>46</v>
      </c>
      <c r="F5" t="s">
        <v>47</v>
      </c>
      <c r="G5" t="s">
        <v>53</v>
      </c>
      <c r="H5" t="s">
        <v>38</v>
      </c>
      <c r="I5">
        <v>9</v>
      </c>
      <c r="J5">
        <v>84.25</v>
      </c>
      <c r="K5">
        <v>64.2</v>
      </c>
      <c r="L5" t="s">
        <v>28</v>
      </c>
      <c r="M5" t="s">
        <v>39</v>
      </c>
      <c r="N5" t="s">
        <v>30</v>
      </c>
      <c r="O5" s="1">
        <v>758.25</v>
      </c>
      <c r="P5" s="1">
        <v>577.80000000000007</v>
      </c>
      <c r="Q5" s="1">
        <v>180.4499999999999</v>
      </c>
      <c r="R5" t="s">
        <v>31</v>
      </c>
      <c r="S5">
        <v>2025</v>
      </c>
      <c r="T5" s="2">
        <v>0.23798219584569719</v>
      </c>
    </row>
    <row r="6" spans="1:20" x14ac:dyDescent="0.35">
      <c r="A6" t="s">
        <v>54</v>
      </c>
      <c r="B6" t="s">
        <v>55</v>
      </c>
      <c r="C6" t="s">
        <v>22</v>
      </c>
      <c r="D6" t="s">
        <v>23</v>
      </c>
      <c r="E6" t="s">
        <v>24</v>
      </c>
      <c r="F6" t="s">
        <v>25</v>
      </c>
      <c r="G6" t="s">
        <v>56</v>
      </c>
      <c r="H6" t="s">
        <v>57</v>
      </c>
      <c r="I6">
        <v>5</v>
      </c>
      <c r="J6">
        <v>96.25</v>
      </c>
      <c r="K6">
        <v>68.87</v>
      </c>
      <c r="L6" t="s">
        <v>58</v>
      </c>
      <c r="M6" t="s">
        <v>39</v>
      </c>
      <c r="N6" t="s">
        <v>40</v>
      </c>
      <c r="O6" s="1">
        <v>481.25</v>
      </c>
      <c r="P6" s="1">
        <v>344.35</v>
      </c>
      <c r="Q6" s="1">
        <v>136.9</v>
      </c>
      <c r="R6" t="s">
        <v>31</v>
      </c>
      <c r="S6">
        <v>2025</v>
      </c>
      <c r="T6" s="2">
        <v>0.28446753246753242</v>
      </c>
    </row>
    <row r="7" spans="1:20" x14ac:dyDescent="0.35">
      <c r="A7" t="s">
        <v>59</v>
      </c>
      <c r="B7" t="s">
        <v>60</v>
      </c>
      <c r="C7" t="s">
        <v>22</v>
      </c>
      <c r="D7" t="s">
        <v>23</v>
      </c>
      <c r="E7" t="s">
        <v>24</v>
      </c>
      <c r="F7" t="s">
        <v>47</v>
      </c>
      <c r="G7" t="s">
        <v>48</v>
      </c>
      <c r="H7" t="s">
        <v>49</v>
      </c>
      <c r="I7">
        <v>28</v>
      </c>
      <c r="J7">
        <v>299.16000000000003</v>
      </c>
      <c r="K7">
        <v>150.37</v>
      </c>
      <c r="L7" t="s">
        <v>58</v>
      </c>
      <c r="M7" t="s">
        <v>39</v>
      </c>
      <c r="N7" t="s">
        <v>40</v>
      </c>
      <c r="O7" s="1">
        <v>8376.4800000000014</v>
      </c>
      <c r="P7" s="1">
        <v>4210.3600000000006</v>
      </c>
      <c r="Q7" s="1">
        <v>4166.1200000000008</v>
      </c>
      <c r="R7" t="s">
        <v>61</v>
      </c>
      <c r="S7">
        <v>2025</v>
      </c>
      <c r="T7" s="2">
        <v>0.49735927263003082</v>
      </c>
    </row>
    <row r="8" spans="1:20" x14ac:dyDescent="0.35">
      <c r="A8" t="s">
        <v>62</v>
      </c>
      <c r="B8" t="s">
        <v>63</v>
      </c>
      <c r="C8" t="s">
        <v>64</v>
      </c>
      <c r="D8" t="s">
        <v>65</v>
      </c>
      <c r="E8" t="s">
        <v>66</v>
      </c>
      <c r="F8" t="s">
        <v>67</v>
      </c>
      <c r="G8" t="s">
        <v>68</v>
      </c>
      <c r="H8" t="s">
        <v>69</v>
      </c>
      <c r="I8">
        <v>19</v>
      </c>
      <c r="J8">
        <v>93.39</v>
      </c>
      <c r="K8">
        <v>66.430000000000007</v>
      </c>
      <c r="L8" t="s">
        <v>58</v>
      </c>
      <c r="M8" t="s">
        <v>39</v>
      </c>
      <c r="N8" t="s">
        <v>70</v>
      </c>
      <c r="O8" s="1">
        <v>1774.41</v>
      </c>
      <c r="P8" s="1">
        <v>1262.17</v>
      </c>
      <c r="Q8" s="1">
        <v>512.24</v>
      </c>
      <c r="R8" t="s">
        <v>50</v>
      </c>
      <c r="S8">
        <v>2025</v>
      </c>
      <c r="T8" s="2">
        <v>0.28868187172074089</v>
      </c>
    </row>
    <row r="9" spans="1:20" x14ac:dyDescent="0.35">
      <c r="A9" t="s">
        <v>71</v>
      </c>
      <c r="B9" t="s">
        <v>72</v>
      </c>
      <c r="C9" t="s">
        <v>73</v>
      </c>
      <c r="D9" t="s">
        <v>74</v>
      </c>
      <c r="E9" t="s">
        <v>75</v>
      </c>
      <c r="F9" t="s">
        <v>67</v>
      </c>
      <c r="G9" t="s">
        <v>68</v>
      </c>
      <c r="H9" t="s">
        <v>69</v>
      </c>
      <c r="I9">
        <v>22</v>
      </c>
      <c r="J9">
        <v>248.22</v>
      </c>
      <c r="K9">
        <v>181.22</v>
      </c>
      <c r="L9" t="s">
        <v>58</v>
      </c>
      <c r="M9" t="s">
        <v>39</v>
      </c>
      <c r="N9" t="s">
        <v>40</v>
      </c>
      <c r="O9" s="1">
        <v>5460.84</v>
      </c>
      <c r="P9" s="1">
        <v>3986.84</v>
      </c>
      <c r="Q9" s="1">
        <v>1474</v>
      </c>
      <c r="R9" t="s">
        <v>50</v>
      </c>
      <c r="S9">
        <v>2025</v>
      </c>
      <c r="T9" s="2">
        <v>0.26992184352590443</v>
      </c>
    </row>
    <row r="10" spans="1:20" x14ac:dyDescent="0.35">
      <c r="A10" t="s">
        <v>76</v>
      </c>
      <c r="B10" t="s">
        <v>77</v>
      </c>
      <c r="C10" t="s">
        <v>44</v>
      </c>
      <c r="D10" t="s">
        <v>45</v>
      </c>
      <c r="E10" t="s">
        <v>46</v>
      </c>
      <c r="F10" t="s">
        <v>25</v>
      </c>
      <c r="G10" t="s">
        <v>26</v>
      </c>
      <c r="H10" t="s">
        <v>27</v>
      </c>
      <c r="I10">
        <v>39</v>
      </c>
      <c r="J10">
        <v>164.75</v>
      </c>
      <c r="K10">
        <v>127.17</v>
      </c>
      <c r="L10" t="s">
        <v>28</v>
      </c>
      <c r="M10" t="s">
        <v>39</v>
      </c>
      <c r="N10" t="s">
        <v>30</v>
      </c>
      <c r="O10" s="1">
        <v>6425.25</v>
      </c>
      <c r="P10" s="1">
        <v>4959.63</v>
      </c>
      <c r="Q10" s="1">
        <v>1465.62</v>
      </c>
      <c r="R10" t="s">
        <v>78</v>
      </c>
      <c r="S10">
        <v>2025</v>
      </c>
      <c r="T10" s="2">
        <v>0.228103186646434</v>
      </c>
    </row>
    <row r="11" spans="1:20" x14ac:dyDescent="0.35">
      <c r="A11" t="s">
        <v>79</v>
      </c>
      <c r="B11" t="s">
        <v>80</v>
      </c>
      <c r="C11" t="s">
        <v>44</v>
      </c>
      <c r="D11" t="s">
        <v>45</v>
      </c>
      <c r="E11" t="s">
        <v>46</v>
      </c>
      <c r="F11" t="s">
        <v>36</v>
      </c>
      <c r="G11" t="s">
        <v>81</v>
      </c>
      <c r="H11" t="s">
        <v>82</v>
      </c>
      <c r="I11">
        <v>18</v>
      </c>
      <c r="J11">
        <v>118.87</v>
      </c>
      <c r="K11">
        <v>71.94</v>
      </c>
      <c r="L11" t="s">
        <v>28</v>
      </c>
      <c r="M11" t="s">
        <v>39</v>
      </c>
      <c r="N11" t="s">
        <v>30</v>
      </c>
      <c r="O11" s="1">
        <v>2139.66</v>
      </c>
      <c r="P11" s="1">
        <v>1294.92</v>
      </c>
      <c r="Q11" s="1">
        <v>844.73999999999978</v>
      </c>
      <c r="R11" t="s">
        <v>83</v>
      </c>
      <c r="S11">
        <v>2025</v>
      </c>
      <c r="T11" s="2">
        <v>0.39480104315638931</v>
      </c>
    </row>
    <row r="12" spans="1:20" x14ac:dyDescent="0.35">
      <c r="A12" t="s">
        <v>84</v>
      </c>
      <c r="B12" t="s">
        <v>85</v>
      </c>
      <c r="C12" t="s">
        <v>86</v>
      </c>
      <c r="D12" t="s">
        <v>87</v>
      </c>
      <c r="E12" t="s">
        <v>88</v>
      </c>
      <c r="F12" t="s">
        <v>25</v>
      </c>
      <c r="G12" t="s">
        <v>26</v>
      </c>
      <c r="H12" t="s">
        <v>27</v>
      </c>
      <c r="I12">
        <v>23</v>
      </c>
      <c r="J12">
        <v>377.4</v>
      </c>
      <c r="K12">
        <v>283.89999999999998</v>
      </c>
      <c r="L12" t="s">
        <v>28</v>
      </c>
      <c r="M12" t="s">
        <v>39</v>
      </c>
      <c r="N12" t="s">
        <v>40</v>
      </c>
      <c r="O12" s="1">
        <v>8680.1999999999989</v>
      </c>
      <c r="P12" s="1">
        <v>6529.7</v>
      </c>
      <c r="Q12" s="1">
        <v>2150.4999999999991</v>
      </c>
      <c r="R12" t="s">
        <v>83</v>
      </c>
      <c r="S12">
        <v>2025</v>
      </c>
      <c r="T12" s="2">
        <v>0.24774774774774769</v>
      </c>
    </row>
    <row r="13" spans="1:20" x14ac:dyDescent="0.35">
      <c r="A13" t="s">
        <v>89</v>
      </c>
      <c r="B13" t="s">
        <v>90</v>
      </c>
      <c r="C13" t="s">
        <v>64</v>
      </c>
      <c r="D13" t="s">
        <v>91</v>
      </c>
      <c r="E13" t="s">
        <v>92</v>
      </c>
      <c r="F13" t="s">
        <v>25</v>
      </c>
      <c r="G13" t="s">
        <v>26</v>
      </c>
      <c r="H13" t="s">
        <v>27</v>
      </c>
      <c r="I13">
        <v>39</v>
      </c>
      <c r="J13">
        <v>394.34</v>
      </c>
      <c r="K13">
        <v>269.56</v>
      </c>
      <c r="L13" t="s">
        <v>28</v>
      </c>
      <c r="M13" t="s">
        <v>39</v>
      </c>
      <c r="N13" t="s">
        <v>70</v>
      </c>
      <c r="O13" s="1">
        <v>15379.26</v>
      </c>
      <c r="P13" s="1">
        <v>10512.84</v>
      </c>
      <c r="Q13" s="1">
        <v>4866.4199999999983</v>
      </c>
      <c r="R13" t="s">
        <v>31</v>
      </c>
      <c r="S13">
        <v>2025</v>
      </c>
      <c r="T13" s="2">
        <v>0.31642744839478609</v>
      </c>
    </row>
    <row r="14" spans="1:20" x14ac:dyDescent="0.35">
      <c r="A14" t="s">
        <v>93</v>
      </c>
      <c r="B14" t="s">
        <v>94</v>
      </c>
      <c r="C14" t="s">
        <v>44</v>
      </c>
      <c r="D14" t="s">
        <v>45</v>
      </c>
      <c r="E14" t="s">
        <v>46</v>
      </c>
      <c r="F14" t="s">
        <v>95</v>
      </c>
      <c r="G14" t="s">
        <v>96</v>
      </c>
      <c r="H14" t="s">
        <v>97</v>
      </c>
      <c r="I14">
        <v>18</v>
      </c>
      <c r="J14">
        <v>315.85000000000002</v>
      </c>
      <c r="K14">
        <v>169.06</v>
      </c>
      <c r="L14" t="s">
        <v>58</v>
      </c>
      <c r="M14" t="s">
        <v>29</v>
      </c>
      <c r="N14" t="s">
        <v>40</v>
      </c>
      <c r="O14" s="1">
        <v>5685.3</v>
      </c>
      <c r="P14" s="1">
        <v>3043.08</v>
      </c>
      <c r="Q14" s="1">
        <v>2642.22</v>
      </c>
      <c r="R14" t="s">
        <v>83</v>
      </c>
      <c r="S14">
        <v>2025</v>
      </c>
      <c r="T14" s="2">
        <v>0.46474592369795792</v>
      </c>
    </row>
    <row r="15" spans="1:20" x14ac:dyDescent="0.35">
      <c r="A15" t="s">
        <v>98</v>
      </c>
      <c r="B15" t="s">
        <v>99</v>
      </c>
      <c r="C15" t="s">
        <v>86</v>
      </c>
      <c r="D15" t="s">
        <v>87</v>
      </c>
      <c r="E15" t="s">
        <v>88</v>
      </c>
      <c r="F15" t="s">
        <v>67</v>
      </c>
      <c r="G15" t="s">
        <v>68</v>
      </c>
      <c r="H15" t="s">
        <v>69</v>
      </c>
      <c r="I15">
        <v>50</v>
      </c>
      <c r="J15">
        <v>380.15</v>
      </c>
      <c r="K15">
        <v>271.01</v>
      </c>
      <c r="L15" t="s">
        <v>28</v>
      </c>
      <c r="M15" t="s">
        <v>29</v>
      </c>
      <c r="N15" t="s">
        <v>40</v>
      </c>
      <c r="O15" s="1">
        <v>19007.5</v>
      </c>
      <c r="P15" s="1">
        <v>13550.5</v>
      </c>
      <c r="Q15" s="1">
        <v>5457</v>
      </c>
      <c r="R15" t="s">
        <v>83</v>
      </c>
      <c r="S15">
        <v>2025</v>
      </c>
      <c r="T15" s="2">
        <v>0.28709719847428639</v>
      </c>
    </row>
    <row r="16" spans="1:20" x14ac:dyDescent="0.35">
      <c r="A16" t="s">
        <v>100</v>
      </c>
      <c r="B16" t="s">
        <v>101</v>
      </c>
      <c r="C16" t="s">
        <v>44</v>
      </c>
      <c r="D16" t="s">
        <v>45</v>
      </c>
      <c r="E16" t="s">
        <v>46</v>
      </c>
      <c r="F16" t="s">
        <v>95</v>
      </c>
      <c r="G16" t="s">
        <v>102</v>
      </c>
      <c r="H16" t="s">
        <v>103</v>
      </c>
      <c r="I16">
        <v>10</v>
      </c>
      <c r="J16">
        <v>218.08</v>
      </c>
      <c r="K16">
        <v>132.19</v>
      </c>
      <c r="L16" t="s">
        <v>58</v>
      </c>
      <c r="M16" t="s">
        <v>39</v>
      </c>
      <c r="N16" t="s">
        <v>30</v>
      </c>
      <c r="O16" s="1">
        <v>2180.8000000000002</v>
      </c>
      <c r="P16" s="1">
        <v>1321.9</v>
      </c>
      <c r="Q16" s="1">
        <v>858.90000000000009</v>
      </c>
      <c r="R16" t="s">
        <v>31</v>
      </c>
      <c r="S16">
        <v>2025</v>
      </c>
      <c r="T16" s="2">
        <v>0.39384629493763762</v>
      </c>
    </row>
    <row r="17" spans="1:20" x14ac:dyDescent="0.35">
      <c r="A17" t="s">
        <v>104</v>
      </c>
      <c r="B17" t="s">
        <v>105</v>
      </c>
      <c r="C17" t="s">
        <v>86</v>
      </c>
      <c r="D17" t="s">
        <v>87</v>
      </c>
      <c r="E17" t="s">
        <v>88</v>
      </c>
      <c r="F17" t="s">
        <v>47</v>
      </c>
      <c r="G17" t="s">
        <v>48</v>
      </c>
      <c r="H17" t="s">
        <v>49</v>
      </c>
      <c r="I17">
        <v>44</v>
      </c>
      <c r="J17">
        <v>307.26</v>
      </c>
      <c r="K17">
        <v>199.18</v>
      </c>
      <c r="L17" t="s">
        <v>58</v>
      </c>
      <c r="M17" t="s">
        <v>29</v>
      </c>
      <c r="N17" t="s">
        <v>30</v>
      </c>
      <c r="O17" s="1">
        <v>13519.44</v>
      </c>
      <c r="P17" s="1">
        <v>8763.92</v>
      </c>
      <c r="Q17" s="1">
        <v>4755.5199999999986</v>
      </c>
      <c r="R17" t="s">
        <v>31</v>
      </c>
      <c r="S17">
        <v>2025</v>
      </c>
      <c r="T17" s="2">
        <v>0.35175421467161361</v>
      </c>
    </row>
    <row r="18" spans="1:20" x14ac:dyDescent="0.35">
      <c r="A18" t="s">
        <v>106</v>
      </c>
      <c r="B18" t="s">
        <v>107</v>
      </c>
      <c r="C18" t="s">
        <v>22</v>
      </c>
      <c r="D18" t="s">
        <v>34</v>
      </c>
      <c r="E18" t="s">
        <v>35</v>
      </c>
      <c r="F18" t="s">
        <v>67</v>
      </c>
      <c r="G18" t="s">
        <v>108</v>
      </c>
      <c r="H18" t="s">
        <v>109</v>
      </c>
      <c r="I18">
        <v>50</v>
      </c>
      <c r="J18">
        <v>190.26</v>
      </c>
      <c r="K18">
        <v>101.79</v>
      </c>
      <c r="L18" t="s">
        <v>28</v>
      </c>
      <c r="M18" t="s">
        <v>29</v>
      </c>
      <c r="N18" t="s">
        <v>40</v>
      </c>
      <c r="O18" s="1">
        <v>9513</v>
      </c>
      <c r="P18" s="1">
        <v>5089.5</v>
      </c>
      <c r="Q18" s="1">
        <v>4423.5</v>
      </c>
      <c r="R18" t="s">
        <v>41</v>
      </c>
      <c r="S18">
        <v>2025</v>
      </c>
      <c r="T18" s="2">
        <v>0.46499526963103122</v>
      </c>
    </row>
    <row r="19" spans="1:20" x14ac:dyDescent="0.35">
      <c r="A19" t="s">
        <v>110</v>
      </c>
      <c r="B19" t="s">
        <v>111</v>
      </c>
      <c r="C19" t="s">
        <v>86</v>
      </c>
      <c r="D19" t="s">
        <v>112</v>
      </c>
      <c r="E19" t="s">
        <v>113</v>
      </c>
      <c r="F19" t="s">
        <v>95</v>
      </c>
      <c r="G19" t="s">
        <v>96</v>
      </c>
      <c r="H19" t="s">
        <v>97</v>
      </c>
      <c r="I19">
        <v>20</v>
      </c>
      <c r="J19">
        <v>90.94</v>
      </c>
      <c r="K19">
        <v>47.17</v>
      </c>
      <c r="L19" t="s">
        <v>28</v>
      </c>
      <c r="M19" t="s">
        <v>29</v>
      </c>
      <c r="N19" t="s">
        <v>40</v>
      </c>
      <c r="O19" s="1">
        <v>1818.8</v>
      </c>
      <c r="P19" s="1">
        <v>943.40000000000009</v>
      </c>
      <c r="Q19" s="1">
        <v>875.39999999999986</v>
      </c>
      <c r="R19" t="s">
        <v>61</v>
      </c>
      <c r="S19">
        <v>2025</v>
      </c>
      <c r="T19" s="2">
        <v>0.48130635583901471</v>
      </c>
    </row>
    <row r="20" spans="1:20" x14ac:dyDescent="0.35">
      <c r="A20" t="s">
        <v>114</v>
      </c>
      <c r="B20" t="s">
        <v>115</v>
      </c>
      <c r="C20" t="s">
        <v>44</v>
      </c>
      <c r="D20" t="s">
        <v>45</v>
      </c>
      <c r="E20" t="s">
        <v>46</v>
      </c>
      <c r="F20" t="s">
        <v>95</v>
      </c>
      <c r="G20" t="s">
        <v>102</v>
      </c>
      <c r="H20" t="s">
        <v>103</v>
      </c>
      <c r="I20">
        <v>20</v>
      </c>
      <c r="J20">
        <v>193.09</v>
      </c>
      <c r="K20">
        <v>128.15</v>
      </c>
      <c r="L20" t="s">
        <v>28</v>
      </c>
      <c r="M20" t="s">
        <v>29</v>
      </c>
      <c r="N20" t="s">
        <v>30</v>
      </c>
      <c r="O20" s="1">
        <v>3861.8</v>
      </c>
      <c r="P20" s="1">
        <v>2563</v>
      </c>
      <c r="Q20" s="1">
        <v>1298.8</v>
      </c>
      <c r="R20" t="s">
        <v>61</v>
      </c>
      <c r="S20">
        <v>2025</v>
      </c>
      <c r="T20" s="2">
        <v>0.33631985084675542</v>
      </c>
    </row>
    <row r="21" spans="1:20" x14ac:dyDescent="0.35">
      <c r="A21" t="s">
        <v>116</v>
      </c>
      <c r="B21" t="s">
        <v>117</v>
      </c>
      <c r="C21" t="s">
        <v>73</v>
      </c>
      <c r="D21" t="s">
        <v>118</v>
      </c>
      <c r="E21" t="s">
        <v>119</v>
      </c>
      <c r="F21" t="s">
        <v>47</v>
      </c>
      <c r="G21" t="s">
        <v>53</v>
      </c>
      <c r="H21" t="s">
        <v>38</v>
      </c>
      <c r="I21">
        <v>40</v>
      </c>
      <c r="J21">
        <v>33.92</v>
      </c>
      <c r="K21">
        <v>22.16</v>
      </c>
      <c r="L21" t="s">
        <v>58</v>
      </c>
      <c r="M21" t="s">
        <v>39</v>
      </c>
      <c r="N21" t="s">
        <v>30</v>
      </c>
      <c r="O21" s="1">
        <v>1356.8</v>
      </c>
      <c r="P21" s="1">
        <v>886.4</v>
      </c>
      <c r="Q21" s="1">
        <v>470.4000000000002</v>
      </c>
      <c r="R21" t="s">
        <v>41</v>
      </c>
      <c r="S21">
        <v>2025</v>
      </c>
      <c r="T21" s="2">
        <v>0.34669811320754729</v>
      </c>
    </row>
    <row r="22" spans="1:20" x14ac:dyDescent="0.35">
      <c r="A22" t="s">
        <v>120</v>
      </c>
      <c r="B22" t="s">
        <v>121</v>
      </c>
      <c r="C22" t="s">
        <v>22</v>
      </c>
      <c r="D22" t="s">
        <v>34</v>
      </c>
      <c r="E22" t="s">
        <v>35</v>
      </c>
      <c r="F22" t="s">
        <v>36</v>
      </c>
      <c r="G22" t="s">
        <v>37</v>
      </c>
      <c r="H22" t="s">
        <v>38</v>
      </c>
      <c r="I22">
        <v>38</v>
      </c>
      <c r="J22">
        <v>163.96</v>
      </c>
      <c r="K22">
        <v>91.53</v>
      </c>
      <c r="L22" t="s">
        <v>28</v>
      </c>
      <c r="M22" t="s">
        <v>29</v>
      </c>
      <c r="N22" t="s">
        <v>30</v>
      </c>
      <c r="O22" s="1">
        <v>6230.48</v>
      </c>
      <c r="P22" s="1">
        <v>3478.14</v>
      </c>
      <c r="Q22" s="1">
        <v>2752.3400000000011</v>
      </c>
      <c r="R22" t="s">
        <v>78</v>
      </c>
      <c r="S22">
        <v>2025</v>
      </c>
      <c r="T22" s="2">
        <v>0.4417540863625275</v>
      </c>
    </row>
    <row r="23" spans="1:20" x14ac:dyDescent="0.35">
      <c r="A23" t="s">
        <v>122</v>
      </c>
      <c r="B23" t="s">
        <v>123</v>
      </c>
      <c r="C23" t="s">
        <v>64</v>
      </c>
      <c r="D23" t="s">
        <v>91</v>
      </c>
      <c r="E23" t="s">
        <v>92</v>
      </c>
      <c r="F23" t="s">
        <v>67</v>
      </c>
      <c r="G23" t="s">
        <v>68</v>
      </c>
      <c r="H23" t="s">
        <v>69</v>
      </c>
      <c r="I23">
        <v>38</v>
      </c>
      <c r="J23">
        <v>289.91000000000003</v>
      </c>
      <c r="K23">
        <v>171.89</v>
      </c>
      <c r="L23" t="s">
        <v>28</v>
      </c>
      <c r="M23" t="s">
        <v>39</v>
      </c>
      <c r="N23" t="s">
        <v>70</v>
      </c>
      <c r="O23" s="1">
        <v>11016.58</v>
      </c>
      <c r="P23" s="1">
        <v>6531.82</v>
      </c>
      <c r="Q23" s="1">
        <v>4484.760000000002</v>
      </c>
      <c r="R23" t="s">
        <v>41</v>
      </c>
      <c r="S23">
        <v>2025</v>
      </c>
      <c r="T23" s="2">
        <v>0.40709185609327042</v>
      </c>
    </row>
    <row r="24" spans="1:20" x14ac:dyDescent="0.35">
      <c r="A24" t="s">
        <v>124</v>
      </c>
      <c r="B24" t="s">
        <v>115</v>
      </c>
      <c r="C24" t="s">
        <v>64</v>
      </c>
      <c r="D24" t="s">
        <v>65</v>
      </c>
      <c r="E24" t="s">
        <v>66</v>
      </c>
      <c r="F24" t="s">
        <v>36</v>
      </c>
      <c r="G24" t="s">
        <v>81</v>
      </c>
      <c r="H24" t="s">
        <v>82</v>
      </c>
      <c r="I24">
        <v>18</v>
      </c>
      <c r="J24">
        <v>370.02</v>
      </c>
      <c r="K24">
        <v>288.60000000000002</v>
      </c>
      <c r="L24" t="s">
        <v>28</v>
      </c>
      <c r="M24" t="s">
        <v>29</v>
      </c>
      <c r="N24" t="s">
        <v>40</v>
      </c>
      <c r="O24" s="1">
        <v>6660.36</v>
      </c>
      <c r="P24" s="1">
        <v>5194.8</v>
      </c>
      <c r="Q24" s="1">
        <v>1465.559999999999</v>
      </c>
      <c r="R24" t="s">
        <v>61</v>
      </c>
      <c r="S24">
        <v>2025</v>
      </c>
      <c r="T24" s="2">
        <v>0.22004215988324949</v>
      </c>
    </row>
    <row r="25" spans="1:20" x14ac:dyDescent="0.35">
      <c r="A25" t="s">
        <v>125</v>
      </c>
      <c r="B25" t="s">
        <v>126</v>
      </c>
      <c r="C25" t="s">
        <v>86</v>
      </c>
      <c r="D25" t="s">
        <v>87</v>
      </c>
      <c r="E25" t="s">
        <v>88</v>
      </c>
      <c r="F25" t="s">
        <v>47</v>
      </c>
      <c r="G25" t="s">
        <v>53</v>
      </c>
      <c r="H25" t="s">
        <v>38</v>
      </c>
      <c r="I25">
        <v>37</v>
      </c>
      <c r="J25">
        <v>299.52</v>
      </c>
      <c r="K25">
        <v>211.4</v>
      </c>
      <c r="L25" t="s">
        <v>58</v>
      </c>
      <c r="M25" t="s">
        <v>29</v>
      </c>
      <c r="N25" t="s">
        <v>30</v>
      </c>
      <c r="O25" s="1">
        <v>11082.24</v>
      </c>
      <c r="P25" s="1">
        <v>7821.8</v>
      </c>
      <c r="Q25" s="1">
        <v>3260.44</v>
      </c>
      <c r="R25" t="s">
        <v>61</v>
      </c>
      <c r="S25">
        <v>2025</v>
      </c>
      <c r="T25" s="2">
        <v>0.29420405982905978</v>
      </c>
    </row>
    <row r="26" spans="1:20" x14ac:dyDescent="0.35">
      <c r="A26" t="s">
        <v>127</v>
      </c>
      <c r="B26" t="s">
        <v>128</v>
      </c>
      <c r="C26" t="s">
        <v>64</v>
      </c>
      <c r="D26" t="s">
        <v>65</v>
      </c>
      <c r="E26" t="s">
        <v>66</v>
      </c>
      <c r="F26" t="s">
        <v>95</v>
      </c>
      <c r="G26" t="s">
        <v>102</v>
      </c>
      <c r="H26" t="s">
        <v>103</v>
      </c>
      <c r="I26">
        <v>17</v>
      </c>
      <c r="J26">
        <v>93.99</v>
      </c>
      <c r="K26">
        <v>66.959999999999994</v>
      </c>
      <c r="L26" t="s">
        <v>28</v>
      </c>
      <c r="M26" t="s">
        <v>39</v>
      </c>
      <c r="N26" t="s">
        <v>30</v>
      </c>
      <c r="O26" s="1">
        <v>1597.83</v>
      </c>
      <c r="P26" s="1">
        <v>1138.32</v>
      </c>
      <c r="Q26" s="1">
        <v>459.51</v>
      </c>
      <c r="R26" t="s">
        <v>78</v>
      </c>
      <c r="S26">
        <v>2025</v>
      </c>
      <c r="T26" s="2">
        <v>0.28758378550909669</v>
      </c>
    </row>
    <row r="27" spans="1:20" x14ac:dyDescent="0.35">
      <c r="A27" t="s">
        <v>129</v>
      </c>
      <c r="B27" t="s">
        <v>130</v>
      </c>
      <c r="C27" t="s">
        <v>73</v>
      </c>
      <c r="D27" t="s">
        <v>118</v>
      </c>
      <c r="E27" t="s">
        <v>119</v>
      </c>
      <c r="F27" t="s">
        <v>25</v>
      </c>
      <c r="G27" t="s">
        <v>56</v>
      </c>
      <c r="H27" t="s">
        <v>57</v>
      </c>
      <c r="I27">
        <v>40</v>
      </c>
      <c r="J27">
        <v>205.92</v>
      </c>
      <c r="K27">
        <v>112.96</v>
      </c>
      <c r="L27" t="s">
        <v>58</v>
      </c>
      <c r="M27" t="s">
        <v>39</v>
      </c>
      <c r="N27" t="s">
        <v>70</v>
      </c>
      <c r="O27" s="1">
        <v>8236.7999999999993</v>
      </c>
      <c r="P27" s="1">
        <v>4518.3999999999996</v>
      </c>
      <c r="Q27" s="1">
        <v>3718.4</v>
      </c>
      <c r="R27" t="s">
        <v>78</v>
      </c>
      <c r="S27">
        <v>2025</v>
      </c>
      <c r="T27" s="2">
        <v>0.45143745143745151</v>
      </c>
    </row>
    <row r="28" spans="1:20" x14ac:dyDescent="0.35">
      <c r="A28" t="s">
        <v>131</v>
      </c>
      <c r="B28" t="s">
        <v>132</v>
      </c>
      <c r="C28" t="s">
        <v>86</v>
      </c>
      <c r="D28" t="s">
        <v>112</v>
      </c>
      <c r="E28" t="s">
        <v>113</v>
      </c>
      <c r="F28" t="s">
        <v>25</v>
      </c>
      <c r="G28" t="s">
        <v>26</v>
      </c>
      <c r="H28" t="s">
        <v>27</v>
      </c>
      <c r="I28">
        <v>36</v>
      </c>
      <c r="J28">
        <v>361.84</v>
      </c>
      <c r="K28">
        <v>190.3</v>
      </c>
      <c r="L28" t="s">
        <v>58</v>
      </c>
      <c r="M28" t="s">
        <v>39</v>
      </c>
      <c r="N28" t="s">
        <v>70</v>
      </c>
      <c r="O28" s="1">
        <v>13026.24</v>
      </c>
      <c r="P28" s="1">
        <v>6850.8</v>
      </c>
      <c r="Q28" s="1">
        <v>6175.44</v>
      </c>
      <c r="R28" t="s">
        <v>41</v>
      </c>
      <c r="S28">
        <v>2025</v>
      </c>
      <c r="T28" s="2">
        <v>0.47407694008401502</v>
      </c>
    </row>
    <row r="29" spans="1:20" x14ac:dyDescent="0.35">
      <c r="A29" t="s">
        <v>133</v>
      </c>
      <c r="B29" t="s">
        <v>33</v>
      </c>
      <c r="C29" t="s">
        <v>44</v>
      </c>
      <c r="D29" t="s">
        <v>45</v>
      </c>
      <c r="E29" t="s">
        <v>46</v>
      </c>
      <c r="F29" t="s">
        <v>47</v>
      </c>
      <c r="G29" t="s">
        <v>48</v>
      </c>
      <c r="H29" t="s">
        <v>49</v>
      </c>
      <c r="I29">
        <v>28</v>
      </c>
      <c r="J29">
        <v>348.5</v>
      </c>
      <c r="K29">
        <v>185.18</v>
      </c>
      <c r="L29" t="s">
        <v>28</v>
      </c>
      <c r="M29" t="s">
        <v>29</v>
      </c>
      <c r="N29" t="s">
        <v>40</v>
      </c>
      <c r="O29" s="1">
        <v>9758</v>
      </c>
      <c r="P29" s="1">
        <v>5185.04</v>
      </c>
      <c r="Q29" s="1">
        <v>4572.96</v>
      </c>
      <c r="R29" t="s">
        <v>41</v>
      </c>
      <c r="S29">
        <v>2025</v>
      </c>
      <c r="T29" s="2">
        <v>0.46863701578192252</v>
      </c>
    </row>
    <row r="30" spans="1:20" x14ac:dyDescent="0.35">
      <c r="A30" t="s">
        <v>134</v>
      </c>
      <c r="B30" t="s">
        <v>135</v>
      </c>
      <c r="C30" t="s">
        <v>73</v>
      </c>
      <c r="D30" t="s">
        <v>118</v>
      </c>
      <c r="E30" t="s">
        <v>119</v>
      </c>
      <c r="F30" t="s">
        <v>25</v>
      </c>
      <c r="G30" t="s">
        <v>26</v>
      </c>
      <c r="H30" t="s">
        <v>27</v>
      </c>
      <c r="I30">
        <v>17</v>
      </c>
      <c r="J30">
        <v>133.63</v>
      </c>
      <c r="K30">
        <v>79.92</v>
      </c>
      <c r="L30" t="s">
        <v>28</v>
      </c>
      <c r="M30" t="s">
        <v>29</v>
      </c>
      <c r="N30" t="s">
        <v>70</v>
      </c>
      <c r="O30" s="1">
        <v>2271.71</v>
      </c>
      <c r="P30" s="1">
        <v>1358.64</v>
      </c>
      <c r="Q30" s="1">
        <v>913.06999999999994</v>
      </c>
      <c r="R30" t="s">
        <v>83</v>
      </c>
      <c r="S30">
        <v>2025</v>
      </c>
      <c r="T30" s="2">
        <v>0.40193070418319238</v>
      </c>
    </row>
    <row r="31" spans="1:20" x14ac:dyDescent="0.35">
      <c r="A31" t="s">
        <v>136</v>
      </c>
      <c r="B31" t="s">
        <v>137</v>
      </c>
      <c r="C31" t="s">
        <v>73</v>
      </c>
      <c r="D31" t="s">
        <v>118</v>
      </c>
      <c r="E31" t="s">
        <v>119</v>
      </c>
      <c r="F31" t="s">
        <v>25</v>
      </c>
      <c r="G31" t="s">
        <v>26</v>
      </c>
      <c r="H31" t="s">
        <v>27</v>
      </c>
      <c r="I31">
        <v>43</v>
      </c>
      <c r="J31">
        <v>123.06</v>
      </c>
      <c r="K31">
        <v>63.75</v>
      </c>
      <c r="L31" t="s">
        <v>58</v>
      </c>
      <c r="M31" t="s">
        <v>29</v>
      </c>
      <c r="N31" t="s">
        <v>30</v>
      </c>
      <c r="O31" s="1">
        <v>5291.58</v>
      </c>
      <c r="P31" s="1">
        <v>2741.25</v>
      </c>
      <c r="Q31" s="1">
        <v>2550.33</v>
      </c>
      <c r="R31" t="s">
        <v>50</v>
      </c>
      <c r="S31">
        <v>2025</v>
      </c>
      <c r="T31" s="2">
        <v>0.48196001950268158</v>
      </c>
    </row>
    <row r="32" spans="1:20" x14ac:dyDescent="0.35">
      <c r="A32" t="s">
        <v>138</v>
      </c>
      <c r="B32" t="s">
        <v>139</v>
      </c>
      <c r="C32" t="s">
        <v>22</v>
      </c>
      <c r="D32" t="s">
        <v>23</v>
      </c>
      <c r="E32" t="s">
        <v>24</v>
      </c>
      <c r="F32" t="s">
        <v>47</v>
      </c>
      <c r="G32" t="s">
        <v>53</v>
      </c>
      <c r="H32" t="s">
        <v>38</v>
      </c>
      <c r="I32">
        <v>40</v>
      </c>
      <c r="J32">
        <v>203.52</v>
      </c>
      <c r="K32">
        <v>130.4</v>
      </c>
      <c r="L32" t="s">
        <v>58</v>
      </c>
      <c r="M32" t="s">
        <v>39</v>
      </c>
      <c r="N32" t="s">
        <v>30</v>
      </c>
      <c r="O32" s="1">
        <v>8140.8</v>
      </c>
      <c r="P32" s="1">
        <v>5216</v>
      </c>
      <c r="Q32" s="1">
        <v>2924.8</v>
      </c>
      <c r="R32" t="s">
        <v>50</v>
      </c>
      <c r="S32">
        <v>2025</v>
      </c>
      <c r="T32" s="2">
        <v>0.35927672955974838</v>
      </c>
    </row>
    <row r="33" spans="1:20" x14ac:dyDescent="0.35">
      <c r="A33" t="s">
        <v>140</v>
      </c>
      <c r="B33" t="s">
        <v>141</v>
      </c>
      <c r="C33" t="s">
        <v>86</v>
      </c>
      <c r="D33" t="s">
        <v>87</v>
      </c>
      <c r="E33" t="s">
        <v>88</v>
      </c>
      <c r="F33" t="s">
        <v>67</v>
      </c>
      <c r="G33" t="s">
        <v>68</v>
      </c>
      <c r="H33" t="s">
        <v>69</v>
      </c>
      <c r="I33">
        <v>29</v>
      </c>
      <c r="J33">
        <v>181.01</v>
      </c>
      <c r="K33">
        <v>102.93</v>
      </c>
      <c r="L33" t="s">
        <v>58</v>
      </c>
      <c r="M33" t="s">
        <v>29</v>
      </c>
      <c r="N33" t="s">
        <v>30</v>
      </c>
      <c r="O33" s="1">
        <v>5249.29</v>
      </c>
      <c r="P33" s="1">
        <v>2984.97</v>
      </c>
      <c r="Q33" s="1">
        <v>2264.3200000000002</v>
      </c>
      <c r="R33" t="s">
        <v>31</v>
      </c>
      <c r="S33">
        <v>2025</v>
      </c>
      <c r="T33" s="2">
        <v>0.43135738356996839</v>
      </c>
    </row>
    <row r="34" spans="1:20" x14ac:dyDescent="0.35">
      <c r="A34" t="s">
        <v>142</v>
      </c>
      <c r="B34" t="s">
        <v>143</v>
      </c>
      <c r="C34" t="s">
        <v>64</v>
      </c>
      <c r="D34" t="s">
        <v>65</v>
      </c>
      <c r="E34" t="s">
        <v>66</v>
      </c>
      <c r="F34" t="s">
        <v>95</v>
      </c>
      <c r="G34" t="s">
        <v>96</v>
      </c>
      <c r="H34" t="s">
        <v>97</v>
      </c>
      <c r="I34">
        <v>30</v>
      </c>
      <c r="J34">
        <v>38.33</v>
      </c>
      <c r="K34">
        <v>27.47</v>
      </c>
      <c r="L34" t="s">
        <v>28</v>
      </c>
      <c r="M34" t="s">
        <v>39</v>
      </c>
      <c r="N34" t="s">
        <v>70</v>
      </c>
      <c r="O34" s="1">
        <v>1149.9000000000001</v>
      </c>
      <c r="P34" s="1">
        <v>824.09999999999991</v>
      </c>
      <c r="Q34" s="1">
        <v>325.8</v>
      </c>
      <c r="R34" t="s">
        <v>41</v>
      </c>
      <c r="S34">
        <v>2025</v>
      </c>
      <c r="T34" s="2">
        <v>0.28332898512914167</v>
      </c>
    </row>
    <row r="35" spans="1:20" x14ac:dyDescent="0.35">
      <c r="A35" t="s">
        <v>144</v>
      </c>
      <c r="B35" t="s">
        <v>145</v>
      </c>
      <c r="C35" t="s">
        <v>64</v>
      </c>
      <c r="D35" t="s">
        <v>65</v>
      </c>
      <c r="E35" t="s">
        <v>66</v>
      </c>
      <c r="F35" t="s">
        <v>47</v>
      </c>
      <c r="G35" t="s">
        <v>53</v>
      </c>
      <c r="H35" t="s">
        <v>38</v>
      </c>
      <c r="I35">
        <v>15</v>
      </c>
      <c r="J35">
        <v>25.36</v>
      </c>
      <c r="K35">
        <v>13.46</v>
      </c>
      <c r="L35" t="s">
        <v>28</v>
      </c>
      <c r="M35" t="s">
        <v>29</v>
      </c>
      <c r="N35" t="s">
        <v>30</v>
      </c>
      <c r="O35" s="1">
        <v>380.4</v>
      </c>
      <c r="P35" s="1">
        <v>201.9</v>
      </c>
      <c r="Q35" s="1">
        <v>178.5</v>
      </c>
      <c r="R35" t="s">
        <v>78</v>
      </c>
      <c r="S35">
        <v>2025</v>
      </c>
      <c r="T35" s="2">
        <v>0.46924290220820192</v>
      </c>
    </row>
    <row r="36" spans="1:20" x14ac:dyDescent="0.35">
      <c r="A36" t="s">
        <v>146</v>
      </c>
      <c r="B36" t="s">
        <v>147</v>
      </c>
      <c r="C36" t="s">
        <v>73</v>
      </c>
      <c r="D36" t="s">
        <v>74</v>
      </c>
      <c r="E36" t="s">
        <v>75</v>
      </c>
      <c r="F36" t="s">
        <v>67</v>
      </c>
      <c r="G36" t="s">
        <v>68</v>
      </c>
      <c r="H36" t="s">
        <v>69</v>
      </c>
      <c r="I36">
        <v>43</v>
      </c>
      <c r="J36">
        <v>335.85</v>
      </c>
      <c r="K36">
        <v>176.17</v>
      </c>
      <c r="L36" t="s">
        <v>58</v>
      </c>
      <c r="M36" t="s">
        <v>29</v>
      </c>
      <c r="N36" t="s">
        <v>70</v>
      </c>
      <c r="O36" s="1">
        <v>14441.55</v>
      </c>
      <c r="P36" s="1">
        <v>7575.3099999999986</v>
      </c>
      <c r="Q36" s="1">
        <v>6866.2400000000016</v>
      </c>
      <c r="R36" t="s">
        <v>41</v>
      </c>
      <c r="S36">
        <v>2025</v>
      </c>
      <c r="T36" s="2">
        <v>0.47545034985856788</v>
      </c>
    </row>
    <row r="37" spans="1:20" x14ac:dyDescent="0.35">
      <c r="A37" t="s">
        <v>148</v>
      </c>
      <c r="B37" t="s">
        <v>149</v>
      </c>
      <c r="C37" t="s">
        <v>44</v>
      </c>
      <c r="D37" t="s">
        <v>45</v>
      </c>
      <c r="E37" t="s">
        <v>46</v>
      </c>
      <c r="F37" t="s">
        <v>95</v>
      </c>
      <c r="G37" t="s">
        <v>102</v>
      </c>
      <c r="H37" t="s">
        <v>103</v>
      </c>
      <c r="I37">
        <v>40</v>
      </c>
      <c r="J37">
        <v>90.63</v>
      </c>
      <c r="K37">
        <v>54.58</v>
      </c>
      <c r="L37" t="s">
        <v>58</v>
      </c>
      <c r="M37" t="s">
        <v>39</v>
      </c>
      <c r="N37" t="s">
        <v>70</v>
      </c>
      <c r="O37" s="1">
        <v>3625.2</v>
      </c>
      <c r="P37" s="1">
        <v>2183.1999999999998</v>
      </c>
      <c r="Q37" s="1">
        <v>1442</v>
      </c>
      <c r="R37" t="s">
        <v>31</v>
      </c>
      <c r="S37">
        <v>2025</v>
      </c>
      <c r="T37" s="2">
        <v>0.39777115745338187</v>
      </c>
    </row>
    <row r="38" spans="1:20" x14ac:dyDescent="0.35">
      <c r="A38" t="s">
        <v>150</v>
      </c>
      <c r="B38" t="s">
        <v>151</v>
      </c>
      <c r="C38" t="s">
        <v>44</v>
      </c>
      <c r="D38" t="s">
        <v>45</v>
      </c>
      <c r="E38" t="s">
        <v>46</v>
      </c>
      <c r="F38" t="s">
        <v>67</v>
      </c>
      <c r="G38" t="s">
        <v>68</v>
      </c>
      <c r="H38" t="s">
        <v>69</v>
      </c>
      <c r="I38">
        <v>23</v>
      </c>
      <c r="J38">
        <v>121.14</v>
      </c>
      <c r="K38">
        <v>65.650000000000006</v>
      </c>
      <c r="L38" t="s">
        <v>58</v>
      </c>
      <c r="M38" t="s">
        <v>29</v>
      </c>
      <c r="N38" t="s">
        <v>30</v>
      </c>
      <c r="O38" s="1">
        <v>2786.22</v>
      </c>
      <c r="P38" s="1">
        <v>1509.95</v>
      </c>
      <c r="Q38" s="1">
        <v>1276.27</v>
      </c>
      <c r="R38" t="s">
        <v>31</v>
      </c>
      <c r="S38">
        <v>2025</v>
      </c>
      <c r="T38" s="2">
        <v>0.45806504870397879</v>
      </c>
    </row>
    <row r="39" spans="1:20" x14ac:dyDescent="0.35">
      <c r="A39" t="s">
        <v>152</v>
      </c>
      <c r="B39" t="s">
        <v>153</v>
      </c>
      <c r="C39" t="s">
        <v>64</v>
      </c>
      <c r="D39" t="s">
        <v>65</v>
      </c>
      <c r="E39" t="s">
        <v>66</v>
      </c>
      <c r="F39" t="s">
        <v>67</v>
      </c>
      <c r="G39" t="s">
        <v>68</v>
      </c>
      <c r="H39" t="s">
        <v>69</v>
      </c>
      <c r="I39">
        <v>8</v>
      </c>
      <c r="J39">
        <v>345.6</v>
      </c>
      <c r="K39">
        <v>201.23</v>
      </c>
      <c r="L39" t="s">
        <v>28</v>
      </c>
      <c r="M39" t="s">
        <v>29</v>
      </c>
      <c r="N39" t="s">
        <v>40</v>
      </c>
      <c r="O39" s="1">
        <v>2764.8</v>
      </c>
      <c r="P39" s="1">
        <v>1609.84</v>
      </c>
      <c r="Q39" s="1">
        <v>1154.96</v>
      </c>
      <c r="R39" t="s">
        <v>50</v>
      </c>
      <c r="S39">
        <v>2025</v>
      </c>
      <c r="T39" s="2">
        <v>0.41773726851851861</v>
      </c>
    </row>
    <row r="40" spans="1:20" x14ac:dyDescent="0.35">
      <c r="A40" t="s">
        <v>154</v>
      </c>
      <c r="B40" t="s">
        <v>155</v>
      </c>
      <c r="C40" t="s">
        <v>64</v>
      </c>
      <c r="D40" t="s">
        <v>65</v>
      </c>
      <c r="E40" t="s">
        <v>66</v>
      </c>
      <c r="F40" t="s">
        <v>36</v>
      </c>
      <c r="G40" t="s">
        <v>37</v>
      </c>
      <c r="H40" t="s">
        <v>38</v>
      </c>
      <c r="I40">
        <v>45</v>
      </c>
      <c r="J40">
        <v>101.61</v>
      </c>
      <c r="K40">
        <v>79.989999999999995</v>
      </c>
      <c r="L40" t="s">
        <v>58</v>
      </c>
      <c r="M40" t="s">
        <v>39</v>
      </c>
      <c r="N40" t="s">
        <v>40</v>
      </c>
      <c r="O40" s="1">
        <v>4572.45</v>
      </c>
      <c r="P40" s="1">
        <v>3599.55</v>
      </c>
      <c r="Q40" s="1">
        <v>972.90000000000009</v>
      </c>
      <c r="R40" t="s">
        <v>83</v>
      </c>
      <c r="S40">
        <v>2025</v>
      </c>
      <c r="T40" s="2">
        <v>0.21277433323491779</v>
      </c>
    </row>
    <row r="41" spans="1:20" x14ac:dyDescent="0.35">
      <c r="A41" t="s">
        <v>156</v>
      </c>
      <c r="B41" t="s">
        <v>157</v>
      </c>
      <c r="C41" t="s">
        <v>22</v>
      </c>
      <c r="D41" t="s">
        <v>23</v>
      </c>
      <c r="E41" t="s">
        <v>24</v>
      </c>
      <c r="F41" t="s">
        <v>47</v>
      </c>
      <c r="G41" t="s">
        <v>53</v>
      </c>
      <c r="H41" t="s">
        <v>38</v>
      </c>
      <c r="I41">
        <v>28</v>
      </c>
      <c r="J41">
        <v>286.52999999999997</v>
      </c>
      <c r="K41">
        <v>150.06</v>
      </c>
      <c r="L41" t="s">
        <v>58</v>
      </c>
      <c r="M41" t="s">
        <v>29</v>
      </c>
      <c r="N41" t="s">
        <v>70</v>
      </c>
      <c r="O41" s="1">
        <v>8022.8399999999992</v>
      </c>
      <c r="P41" s="1">
        <v>4201.68</v>
      </c>
      <c r="Q41" s="1">
        <v>3821.1599999999989</v>
      </c>
      <c r="R41" t="s">
        <v>61</v>
      </c>
      <c r="S41">
        <v>2025</v>
      </c>
      <c r="T41" s="2">
        <v>0.47628520573761901</v>
      </c>
    </row>
    <row r="42" spans="1:20" x14ac:dyDescent="0.35">
      <c r="A42" t="s">
        <v>158</v>
      </c>
      <c r="B42" t="s">
        <v>159</v>
      </c>
      <c r="C42" t="s">
        <v>22</v>
      </c>
      <c r="D42" t="s">
        <v>34</v>
      </c>
      <c r="E42" t="s">
        <v>35</v>
      </c>
      <c r="F42" t="s">
        <v>36</v>
      </c>
      <c r="G42" t="s">
        <v>37</v>
      </c>
      <c r="H42" t="s">
        <v>38</v>
      </c>
      <c r="I42">
        <v>45</v>
      </c>
      <c r="J42">
        <v>385.97</v>
      </c>
      <c r="K42">
        <v>307.19</v>
      </c>
      <c r="L42" t="s">
        <v>58</v>
      </c>
      <c r="M42" t="s">
        <v>29</v>
      </c>
      <c r="N42" t="s">
        <v>30</v>
      </c>
      <c r="O42" s="1">
        <v>17368.650000000001</v>
      </c>
      <c r="P42" s="1">
        <v>13823.55</v>
      </c>
      <c r="Q42" s="1">
        <v>3545.1000000000022</v>
      </c>
      <c r="R42" t="s">
        <v>61</v>
      </c>
      <c r="S42">
        <v>2025</v>
      </c>
      <c r="T42" s="2">
        <v>0.2041091276524083</v>
      </c>
    </row>
    <row r="43" spans="1:20" x14ac:dyDescent="0.35">
      <c r="A43" t="s">
        <v>160</v>
      </c>
      <c r="B43" t="s">
        <v>161</v>
      </c>
      <c r="C43" t="s">
        <v>22</v>
      </c>
      <c r="D43" t="s">
        <v>34</v>
      </c>
      <c r="E43" t="s">
        <v>35</v>
      </c>
      <c r="F43" t="s">
        <v>47</v>
      </c>
      <c r="G43" t="s">
        <v>48</v>
      </c>
      <c r="H43" t="s">
        <v>49</v>
      </c>
      <c r="I43">
        <v>13</v>
      </c>
      <c r="J43">
        <v>344.74</v>
      </c>
      <c r="K43">
        <v>240.29</v>
      </c>
      <c r="L43" t="s">
        <v>28</v>
      </c>
      <c r="M43" t="s">
        <v>29</v>
      </c>
      <c r="N43" t="s">
        <v>40</v>
      </c>
      <c r="O43" s="1">
        <v>4481.62</v>
      </c>
      <c r="P43" s="1">
        <v>3123.77</v>
      </c>
      <c r="Q43" s="1">
        <v>1357.85</v>
      </c>
      <c r="R43" t="s">
        <v>41</v>
      </c>
      <c r="S43">
        <v>2025</v>
      </c>
      <c r="T43" s="2">
        <v>0.30298195741718398</v>
      </c>
    </row>
    <row r="44" spans="1:20" x14ac:dyDescent="0.35">
      <c r="A44" t="s">
        <v>162</v>
      </c>
      <c r="B44" t="s">
        <v>163</v>
      </c>
      <c r="C44" t="s">
        <v>22</v>
      </c>
      <c r="D44" t="s">
        <v>34</v>
      </c>
      <c r="E44" t="s">
        <v>35</v>
      </c>
      <c r="F44" t="s">
        <v>67</v>
      </c>
      <c r="G44" t="s">
        <v>108</v>
      </c>
      <c r="H44" t="s">
        <v>109</v>
      </c>
      <c r="I44">
        <v>36</v>
      </c>
      <c r="J44">
        <v>171.07</v>
      </c>
      <c r="K44">
        <v>105.28</v>
      </c>
      <c r="L44" t="s">
        <v>58</v>
      </c>
      <c r="M44" t="s">
        <v>29</v>
      </c>
      <c r="N44" t="s">
        <v>40</v>
      </c>
      <c r="O44" s="1">
        <v>6158.52</v>
      </c>
      <c r="P44" s="1">
        <v>3790.08</v>
      </c>
      <c r="Q44" s="1">
        <v>2368.44</v>
      </c>
      <c r="R44" t="s">
        <v>83</v>
      </c>
      <c r="S44">
        <v>2025</v>
      </c>
      <c r="T44" s="2">
        <v>0.38457941193663409</v>
      </c>
    </row>
    <row r="45" spans="1:20" x14ac:dyDescent="0.35">
      <c r="A45" t="s">
        <v>164</v>
      </c>
      <c r="B45" t="s">
        <v>165</v>
      </c>
      <c r="C45" t="s">
        <v>22</v>
      </c>
      <c r="D45" t="s">
        <v>34</v>
      </c>
      <c r="E45" t="s">
        <v>35</v>
      </c>
      <c r="F45" t="s">
        <v>95</v>
      </c>
      <c r="G45" t="s">
        <v>102</v>
      </c>
      <c r="H45" t="s">
        <v>103</v>
      </c>
      <c r="I45">
        <v>33</v>
      </c>
      <c r="J45">
        <v>85.53</v>
      </c>
      <c r="K45">
        <v>59.2</v>
      </c>
      <c r="L45" t="s">
        <v>58</v>
      </c>
      <c r="M45" t="s">
        <v>39</v>
      </c>
      <c r="N45" t="s">
        <v>70</v>
      </c>
      <c r="O45" s="1">
        <v>2822.49</v>
      </c>
      <c r="P45" s="1">
        <v>1953.6</v>
      </c>
      <c r="Q45" s="1">
        <v>868.8900000000001</v>
      </c>
      <c r="R45" t="s">
        <v>41</v>
      </c>
      <c r="S45">
        <v>2025</v>
      </c>
      <c r="T45" s="2">
        <v>0.30784520051443942</v>
      </c>
    </row>
    <row r="46" spans="1:20" x14ac:dyDescent="0.35">
      <c r="A46" t="s">
        <v>166</v>
      </c>
      <c r="B46" t="s">
        <v>167</v>
      </c>
      <c r="C46" t="s">
        <v>73</v>
      </c>
      <c r="D46" t="s">
        <v>74</v>
      </c>
      <c r="E46" t="s">
        <v>75</v>
      </c>
      <c r="F46" t="s">
        <v>36</v>
      </c>
      <c r="G46" t="s">
        <v>37</v>
      </c>
      <c r="H46" t="s">
        <v>38</v>
      </c>
      <c r="I46">
        <v>23</v>
      </c>
      <c r="J46">
        <v>311.23</v>
      </c>
      <c r="K46">
        <v>155.85</v>
      </c>
      <c r="L46" t="s">
        <v>58</v>
      </c>
      <c r="M46" t="s">
        <v>39</v>
      </c>
      <c r="N46" t="s">
        <v>70</v>
      </c>
      <c r="O46" s="1">
        <v>7158.2900000000009</v>
      </c>
      <c r="P46" s="1">
        <v>3584.55</v>
      </c>
      <c r="Q46" s="1">
        <v>3573.7400000000011</v>
      </c>
      <c r="R46" t="s">
        <v>83</v>
      </c>
      <c r="S46">
        <v>2025</v>
      </c>
      <c r="T46" s="2">
        <v>0.49924493140121462</v>
      </c>
    </row>
    <row r="47" spans="1:20" x14ac:dyDescent="0.35">
      <c r="A47" t="s">
        <v>168</v>
      </c>
      <c r="B47" t="s">
        <v>169</v>
      </c>
      <c r="C47" t="s">
        <v>64</v>
      </c>
      <c r="D47" t="s">
        <v>91</v>
      </c>
      <c r="E47" t="s">
        <v>92</v>
      </c>
      <c r="F47" t="s">
        <v>47</v>
      </c>
      <c r="G47" t="s">
        <v>48</v>
      </c>
      <c r="H47" t="s">
        <v>49</v>
      </c>
      <c r="I47">
        <v>28</v>
      </c>
      <c r="J47">
        <v>220.9</v>
      </c>
      <c r="K47">
        <v>154.46</v>
      </c>
      <c r="L47" t="s">
        <v>28</v>
      </c>
      <c r="M47" t="s">
        <v>39</v>
      </c>
      <c r="N47" t="s">
        <v>30</v>
      </c>
      <c r="O47" s="1">
        <v>6185.2</v>
      </c>
      <c r="P47" s="1">
        <v>4324.88</v>
      </c>
      <c r="Q47" s="1">
        <v>1860.32</v>
      </c>
      <c r="R47" t="s">
        <v>61</v>
      </c>
      <c r="S47">
        <v>2025</v>
      </c>
      <c r="T47" s="2">
        <v>0.30076957899502033</v>
      </c>
    </row>
    <row r="48" spans="1:20" x14ac:dyDescent="0.35">
      <c r="A48" t="s">
        <v>170</v>
      </c>
      <c r="B48" t="s">
        <v>171</v>
      </c>
      <c r="C48" t="s">
        <v>73</v>
      </c>
      <c r="D48" t="s">
        <v>118</v>
      </c>
      <c r="E48" t="s">
        <v>119</v>
      </c>
      <c r="F48" t="s">
        <v>95</v>
      </c>
      <c r="G48" t="s">
        <v>96</v>
      </c>
      <c r="H48" t="s">
        <v>97</v>
      </c>
      <c r="I48">
        <v>19</v>
      </c>
      <c r="J48">
        <v>247.28</v>
      </c>
      <c r="K48">
        <v>158.41999999999999</v>
      </c>
      <c r="L48" t="s">
        <v>28</v>
      </c>
      <c r="M48" t="s">
        <v>39</v>
      </c>
      <c r="N48" t="s">
        <v>30</v>
      </c>
      <c r="O48" s="1">
        <v>4698.32</v>
      </c>
      <c r="P48" s="1">
        <v>3009.98</v>
      </c>
      <c r="Q48" s="1">
        <v>1688.34</v>
      </c>
      <c r="R48" t="s">
        <v>50</v>
      </c>
      <c r="S48">
        <v>2025</v>
      </c>
      <c r="T48" s="2">
        <v>0.35934972500808798</v>
      </c>
    </row>
    <row r="49" spans="1:20" x14ac:dyDescent="0.35">
      <c r="A49" t="s">
        <v>172</v>
      </c>
      <c r="B49" t="s">
        <v>173</v>
      </c>
      <c r="C49" t="s">
        <v>44</v>
      </c>
      <c r="D49" t="s">
        <v>45</v>
      </c>
      <c r="E49" t="s">
        <v>46</v>
      </c>
      <c r="F49" t="s">
        <v>25</v>
      </c>
      <c r="G49" t="s">
        <v>56</v>
      </c>
      <c r="H49" t="s">
        <v>57</v>
      </c>
      <c r="I49">
        <v>44</v>
      </c>
      <c r="J49">
        <v>251.55</v>
      </c>
      <c r="K49">
        <v>132.93</v>
      </c>
      <c r="L49" t="s">
        <v>58</v>
      </c>
      <c r="M49" t="s">
        <v>39</v>
      </c>
      <c r="N49" t="s">
        <v>30</v>
      </c>
      <c r="O49" s="1">
        <v>11068.2</v>
      </c>
      <c r="P49" s="1">
        <v>5848.92</v>
      </c>
      <c r="Q49" s="1">
        <v>5219.2800000000007</v>
      </c>
      <c r="R49" t="s">
        <v>78</v>
      </c>
      <c r="S49">
        <v>2025</v>
      </c>
      <c r="T49" s="2">
        <v>0.47155635062611811</v>
      </c>
    </row>
    <row r="50" spans="1:20" x14ac:dyDescent="0.35">
      <c r="A50" t="s">
        <v>174</v>
      </c>
      <c r="B50" t="s">
        <v>175</v>
      </c>
      <c r="C50" t="s">
        <v>44</v>
      </c>
      <c r="D50" t="s">
        <v>45</v>
      </c>
      <c r="E50" t="s">
        <v>46</v>
      </c>
      <c r="F50" t="s">
        <v>25</v>
      </c>
      <c r="G50" t="s">
        <v>26</v>
      </c>
      <c r="H50" t="s">
        <v>27</v>
      </c>
      <c r="I50">
        <v>8</v>
      </c>
      <c r="J50">
        <v>327.05</v>
      </c>
      <c r="K50">
        <v>231.09</v>
      </c>
      <c r="L50" t="s">
        <v>28</v>
      </c>
      <c r="M50" t="s">
        <v>29</v>
      </c>
      <c r="N50" t="s">
        <v>70</v>
      </c>
      <c r="O50" s="1">
        <v>2616.4</v>
      </c>
      <c r="P50" s="1">
        <v>1848.72</v>
      </c>
      <c r="Q50" s="1">
        <v>767.68000000000006</v>
      </c>
      <c r="R50" t="s">
        <v>83</v>
      </c>
      <c r="S50">
        <v>2025</v>
      </c>
      <c r="T50" s="2">
        <v>0.29341079345665799</v>
      </c>
    </row>
    <row r="51" spans="1:20" x14ac:dyDescent="0.35">
      <c r="A51" t="s">
        <v>176</v>
      </c>
      <c r="B51" t="s">
        <v>177</v>
      </c>
      <c r="C51" t="s">
        <v>86</v>
      </c>
      <c r="D51" t="s">
        <v>87</v>
      </c>
      <c r="E51" t="s">
        <v>88</v>
      </c>
      <c r="F51" t="s">
        <v>95</v>
      </c>
      <c r="G51" t="s">
        <v>96</v>
      </c>
      <c r="H51" t="s">
        <v>97</v>
      </c>
      <c r="I51">
        <v>14</v>
      </c>
      <c r="J51">
        <v>294.89999999999998</v>
      </c>
      <c r="K51">
        <v>192.6</v>
      </c>
      <c r="L51" t="s">
        <v>28</v>
      </c>
      <c r="M51" t="s">
        <v>39</v>
      </c>
      <c r="N51" t="s">
        <v>40</v>
      </c>
      <c r="O51" s="1">
        <v>4128.5999999999995</v>
      </c>
      <c r="P51" s="1">
        <v>2696.4</v>
      </c>
      <c r="Q51" s="1">
        <v>1432.1999999999989</v>
      </c>
      <c r="R51" t="s">
        <v>78</v>
      </c>
      <c r="S51">
        <v>2025</v>
      </c>
      <c r="T51" s="2">
        <v>0.34689725330620541</v>
      </c>
    </row>
    <row r="52" spans="1:20" x14ac:dyDescent="0.35">
      <c r="A52" t="s">
        <v>178</v>
      </c>
      <c r="B52" t="s">
        <v>60</v>
      </c>
      <c r="C52" t="s">
        <v>64</v>
      </c>
      <c r="D52" t="s">
        <v>65</v>
      </c>
      <c r="E52" t="s">
        <v>66</v>
      </c>
      <c r="F52" t="s">
        <v>95</v>
      </c>
      <c r="G52" t="s">
        <v>96</v>
      </c>
      <c r="H52" t="s">
        <v>97</v>
      </c>
      <c r="I52">
        <v>32</v>
      </c>
      <c r="J52">
        <v>158.97</v>
      </c>
      <c r="K52">
        <v>116.21</v>
      </c>
      <c r="L52" t="s">
        <v>28</v>
      </c>
      <c r="M52" t="s">
        <v>39</v>
      </c>
      <c r="N52" t="s">
        <v>40</v>
      </c>
      <c r="O52" s="1">
        <v>5087.04</v>
      </c>
      <c r="P52" s="1">
        <v>3718.72</v>
      </c>
      <c r="Q52" s="1">
        <v>1368.32</v>
      </c>
      <c r="R52" t="s">
        <v>61</v>
      </c>
      <c r="S52">
        <v>2025</v>
      </c>
      <c r="T52" s="2">
        <v>0.2689815688494685</v>
      </c>
    </row>
    <row r="53" spans="1:20" x14ac:dyDescent="0.35">
      <c r="A53" t="s">
        <v>179</v>
      </c>
      <c r="B53" t="s">
        <v>180</v>
      </c>
      <c r="C53" t="s">
        <v>22</v>
      </c>
      <c r="D53" t="s">
        <v>23</v>
      </c>
      <c r="E53" t="s">
        <v>24</v>
      </c>
      <c r="F53" t="s">
        <v>67</v>
      </c>
      <c r="G53" t="s">
        <v>108</v>
      </c>
      <c r="H53" t="s">
        <v>109</v>
      </c>
      <c r="I53">
        <v>22</v>
      </c>
      <c r="J53">
        <v>149.5</v>
      </c>
      <c r="K53">
        <v>119.46</v>
      </c>
      <c r="L53" t="s">
        <v>28</v>
      </c>
      <c r="M53" t="s">
        <v>29</v>
      </c>
      <c r="N53" t="s">
        <v>40</v>
      </c>
      <c r="O53" s="1">
        <v>3289</v>
      </c>
      <c r="P53" s="1">
        <v>2628.12</v>
      </c>
      <c r="Q53" s="1">
        <v>660.88000000000011</v>
      </c>
      <c r="R53" t="s">
        <v>83</v>
      </c>
      <c r="S53">
        <v>2025</v>
      </c>
      <c r="T53" s="2">
        <v>0.20093645484949829</v>
      </c>
    </row>
    <row r="54" spans="1:20" x14ac:dyDescent="0.35">
      <c r="A54" t="s">
        <v>181</v>
      </c>
      <c r="B54" t="s">
        <v>182</v>
      </c>
      <c r="C54" t="s">
        <v>44</v>
      </c>
      <c r="D54" t="s">
        <v>45</v>
      </c>
      <c r="E54" t="s">
        <v>46</v>
      </c>
      <c r="F54" t="s">
        <v>25</v>
      </c>
      <c r="G54" t="s">
        <v>26</v>
      </c>
      <c r="H54" t="s">
        <v>27</v>
      </c>
      <c r="I54">
        <v>24</v>
      </c>
      <c r="J54">
        <v>82.18</v>
      </c>
      <c r="K54">
        <v>54.62</v>
      </c>
      <c r="L54" t="s">
        <v>58</v>
      </c>
      <c r="M54" t="s">
        <v>39</v>
      </c>
      <c r="N54" t="s">
        <v>30</v>
      </c>
      <c r="O54" s="1">
        <v>1972.32</v>
      </c>
      <c r="P54" s="1">
        <v>1310.88</v>
      </c>
      <c r="Q54" s="1">
        <v>661.44000000000028</v>
      </c>
      <c r="R54" t="s">
        <v>31</v>
      </c>
      <c r="S54">
        <v>2025</v>
      </c>
      <c r="T54" s="2">
        <v>0.33536140180092489</v>
      </c>
    </row>
    <row r="55" spans="1:20" x14ac:dyDescent="0.35">
      <c r="A55" t="s">
        <v>183</v>
      </c>
      <c r="B55" t="s">
        <v>184</v>
      </c>
      <c r="C55" t="s">
        <v>64</v>
      </c>
      <c r="D55" t="s">
        <v>91</v>
      </c>
      <c r="E55" t="s">
        <v>92</v>
      </c>
      <c r="F55" t="s">
        <v>25</v>
      </c>
      <c r="G55" t="s">
        <v>26</v>
      </c>
      <c r="H55" t="s">
        <v>27</v>
      </c>
      <c r="I55">
        <v>15</v>
      </c>
      <c r="J55">
        <v>69.540000000000006</v>
      </c>
      <c r="K55">
        <v>52.97</v>
      </c>
      <c r="L55" t="s">
        <v>58</v>
      </c>
      <c r="M55" t="s">
        <v>29</v>
      </c>
      <c r="N55" t="s">
        <v>40</v>
      </c>
      <c r="O55" s="1">
        <v>1043.0999999999999</v>
      </c>
      <c r="P55" s="1">
        <v>794.55</v>
      </c>
      <c r="Q55" s="1">
        <v>248.55000000000021</v>
      </c>
      <c r="R55" t="s">
        <v>78</v>
      </c>
      <c r="S55">
        <v>2025</v>
      </c>
      <c r="T55" s="2">
        <v>0.23828012654587299</v>
      </c>
    </row>
    <row r="56" spans="1:20" x14ac:dyDescent="0.35">
      <c r="A56" t="s">
        <v>185</v>
      </c>
      <c r="B56" t="s">
        <v>186</v>
      </c>
      <c r="C56" t="s">
        <v>22</v>
      </c>
      <c r="D56" t="s">
        <v>34</v>
      </c>
      <c r="E56" t="s">
        <v>35</v>
      </c>
      <c r="F56" t="s">
        <v>67</v>
      </c>
      <c r="G56" t="s">
        <v>68</v>
      </c>
      <c r="H56" t="s">
        <v>69</v>
      </c>
      <c r="I56">
        <v>47</v>
      </c>
      <c r="J56">
        <v>67.17</v>
      </c>
      <c r="K56">
        <v>47.84</v>
      </c>
      <c r="L56" t="s">
        <v>58</v>
      </c>
      <c r="M56" t="s">
        <v>39</v>
      </c>
      <c r="N56" t="s">
        <v>70</v>
      </c>
      <c r="O56" s="1">
        <v>3156.99</v>
      </c>
      <c r="P56" s="1">
        <v>2248.48</v>
      </c>
      <c r="Q56" s="1">
        <v>908.51000000000022</v>
      </c>
      <c r="R56" t="s">
        <v>78</v>
      </c>
      <c r="S56">
        <v>2025</v>
      </c>
      <c r="T56" s="2">
        <v>0.28777728152449022</v>
      </c>
    </row>
    <row r="57" spans="1:20" x14ac:dyDescent="0.35">
      <c r="A57" t="s">
        <v>187</v>
      </c>
      <c r="B57" t="s">
        <v>188</v>
      </c>
      <c r="C57" t="s">
        <v>73</v>
      </c>
      <c r="D57" t="s">
        <v>74</v>
      </c>
      <c r="E57" t="s">
        <v>75</v>
      </c>
      <c r="F57" t="s">
        <v>36</v>
      </c>
      <c r="G57" t="s">
        <v>37</v>
      </c>
      <c r="H57" t="s">
        <v>38</v>
      </c>
      <c r="I57">
        <v>30</v>
      </c>
      <c r="J57">
        <v>106.18</v>
      </c>
      <c r="K57">
        <v>64.209999999999994</v>
      </c>
      <c r="L57" t="s">
        <v>28</v>
      </c>
      <c r="M57" t="s">
        <v>39</v>
      </c>
      <c r="N57" t="s">
        <v>70</v>
      </c>
      <c r="O57" s="1">
        <v>3185.4</v>
      </c>
      <c r="P57" s="1">
        <v>1926.3</v>
      </c>
      <c r="Q57" s="1">
        <v>1259.0999999999999</v>
      </c>
      <c r="R57" t="s">
        <v>50</v>
      </c>
      <c r="S57">
        <v>2025</v>
      </c>
      <c r="T57" s="2">
        <v>0.39527217931813913</v>
      </c>
    </row>
    <row r="58" spans="1:20" x14ac:dyDescent="0.35">
      <c r="A58" t="s">
        <v>189</v>
      </c>
      <c r="B58" t="s">
        <v>190</v>
      </c>
      <c r="C58" t="s">
        <v>73</v>
      </c>
      <c r="D58" t="s">
        <v>74</v>
      </c>
      <c r="E58" t="s">
        <v>75</v>
      </c>
      <c r="F58" t="s">
        <v>95</v>
      </c>
      <c r="G58" t="s">
        <v>102</v>
      </c>
      <c r="H58" t="s">
        <v>103</v>
      </c>
      <c r="I58">
        <v>9</v>
      </c>
      <c r="J58">
        <v>148.52000000000001</v>
      </c>
      <c r="K58">
        <v>112.05</v>
      </c>
      <c r="L58" t="s">
        <v>58</v>
      </c>
      <c r="M58" t="s">
        <v>39</v>
      </c>
      <c r="N58" t="s">
        <v>30</v>
      </c>
      <c r="O58" s="1">
        <v>1336.68</v>
      </c>
      <c r="P58" s="1">
        <v>1008.45</v>
      </c>
      <c r="Q58" s="1">
        <v>328.23000000000008</v>
      </c>
      <c r="R58" t="s">
        <v>41</v>
      </c>
      <c r="S58">
        <v>2025</v>
      </c>
      <c r="T58" s="2">
        <v>0.2455561540533262</v>
      </c>
    </row>
    <row r="59" spans="1:20" x14ac:dyDescent="0.35">
      <c r="A59" t="s">
        <v>191</v>
      </c>
      <c r="B59" t="s">
        <v>117</v>
      </c>
      <c r="C59" t="s">
        <v>44</v>
      </c>
      <c r="D59" t="s">
        <v>45</v>
      </c>
      <c r="E59" t="s">
        <v>46</v>
      </c>
      <c r="F59" t="s">
        <v>25</v>
      </c>
      <c r="G59" t="s">
        <v>26</v>
      </c>
      <c r="H59" t="s">
        <v>27</v>
      </c>
      <c r="I59">
        <v>39</v>
      </c>
      <c r="J59">
        <v>119.67</v>
      </c>
      <c r="K59">
        <v>65.260000000000005</v>
      </c>
      <c r="L59" t="s">
        <v>58</v>
      </c>
      <c r="M59" t="s">
        <v>39</v>
      </c>
      <c r="N59" t="s">
        <v>70</v>
      </c>
      <c r="O59" s="1">
        <v>4667.13</v>
      </c>
      <c r="P59" s="1">
        <v>2545.14</v>
      </c>
      <c r="Q59" s="1">
        <v>2121.9899999999998</v>
      </c>
      <c r="R59" t="s">
        <v>41</v>
      </c>
      <c r="S59">
        <v>2025</v>
      </c>
      <c r="T59" s="2">
        <v>0.45466700091919438</v>
      </c>
    </row>
    <row r="60" spans="1:20" x14ac:dyDescent="0.35">
      <c r="A60" t="s">
        <v>192</v>
      </c>
      <c r="B60" t="s">
        <v>193</v>
      </c>
      <c r="C60" t="s">
        <v>73</v>
      </c>
      <c r="D60" t="s">
        <v>118</v>
      </c>
      <c r="E60" t="s">
        <v>119</v>
      </c>
      <c r="F60" t="s">
        <v>95</v>
      </c>
      <c r="G60" t="s">
        <v>102</v>
      </c>
      <c r="H60" t="s">
        <v>103</v>
      </c>
      <c r="I60">
        <v>25</v>
      </c>
      <c r="J60">
        <v>139.72</v>
      </c>
      <c r="K60">
        <v>71.75</v>
      </c>
      <c r="L60" t="s">
        <v>28</v>
      </c>
      <c r="M60" t="s">
        <v>39</v>
      </c>
      <c r="N60" t="s">
        <v>40</v>
      </c>
      <c r="O60" s="1">
        <v>3493</v>
      </c>
      <c r="P60" s="1">
        <v>1793.75</v>
      </c>
      <c r="Q60" s="1">
        <v>1699.25</v>
      </c>
      <c r="R60" t="s">
        <v>61</v>
      </c>
      <c r="S60">
        <v>2025</v>
      </c>
      <c r="T60" s="2">
        <v>0.48647294589178358</v>
      </c>
    </row>
    <row r="61" spans="1:20" x14ac:dyDescent="0.35">
      <c r="A61" t="s">
        <v>194</v>
      </c>
      <c r="B61" t="s">
        <v>195</v>
      </c>
      <c r="C61" t="s">
        <v>86</v>
      </c>
      <c r="D61" t="s">
        <v>112</v>
      </c>
      <c r="E61" t="s">
        <v>113</v>
      </c>
      <c r="F61" t="s">
        <v>67</v>
      </c>
      <c r="G61" t="s">
        <v>108</v>
      </c>
      <c r="H61" t="s">
        <v>109</v>
      </c>
      <c r="I61">
        <v>23</v>
      </c>
      <c r="J61">
        <v>286.95</v>
      </c>
      <c r="K61">
        <v>204.53</v>
      </c>
      <c r="L61" t="s">
        <v>28</v>
      </c>
      <c r="M61" t="s">
        <v>29</v>
      </c>
      <c r="N61" t="s">
        <v>30</v>
      </c>
      <c r="O61" s="1">
        <v>6599.8499999999995</v>
      </c>
      <c r="P61" s="1">
        <v>4704.1899999999996</v>
      </c>
      <c r="Q61" s="1">
        <v>1895.66</v>
      </c>
      <c r="R61" t="s">
        <v>50</v>
      </c>
      <c r="S61">
        <v>2025</v>
      </c>
      <c r="T61" s="2">
        <v>0.2872277400243945</v>
      </c>
    </row>
    <row r="62" spans="1:20" x14ac:dyDescent="0.35">
      <c r="A62" t="s">
        <v>196</v>
      </c>
      <c r="B62" t="s">
        <v>197</v>
      </c>
      <c r="C62" t="s">
        <v>73</v>
      </c>
      <c r="D62" t="s">
        <v>74</v>
      </c>
      <c r="E62" t="s">
        <v>75</v>
      </c>
      <c r="F62" t="s">
        <v>25</v>
      </c>
      <c r="G62" t="s">
        <v>26</v>
      </c>
      <c r="H62" t="s">
        <v>27</v>
      </c>
      <c r="I62">
        <v>25</v>
      </c>
      <c r="J62">
        <v>375.92</v>
      </c>
      <c r="K62">
        <v>191.05</v>
      </c>
      <c r="L62" t="s">
        <v>28</v>
      </c>
      <c r="M62" t="s">
        <v>29</v>
      </c>
      <c r="N62" t="s">
        <v>40</v>
      </c>
      <c r="O62" s="1">
        <v>9398</v>
      </c>
      <c r="P62" s="1">
        <v>4776.25</v>
      </c>
      <c r="Q62" s="1">
        <v>4621.75</v>
      </c>
      <c r="R62" t="s">
        <v>31</v>
      </c>
      <c r="S62">
        <v>2025</v>
      </c>
      <c r="T62" s="2">
        <v>0.49178016599276442</v>
      </c>
    </row>
    <row r="63" spans="1:20" x14ac:dyDescent="0.35">
      <c r="A63" t="s">
        <v>198</v>
      </c>
      <c r="B63" t="s">
        <v>197</v>
      </c>
      <c r="C63" t="s">
        <v>64</v>
      </c>
      <c r="D63" t="s">
        <v>91</v>
      </c>
      <c r="E63" t="s">
        <v>92</v>
      </c>
      <c r="F63" t="s">
        <v>36</v>
      </c>
      <c r="G63" t="s">
        <v>81</v>
      </c>
      <c r="H63" t="s">
        <v>82</v>
      </c>
      <c r="I63">
        <v>14</v>
      </c>
      <c r="J63">
        <v>311.55</v>
      </c>
      <c r="K63">
        <v>243.15</v>
      </c>
      <c r="L63" t="s">
        <v>28</v>
      </c>
      <c r="M63" t="s">
        <v>29</v>
      </c>
      <c r="N63" t="s">
        <v>70</v>
      </c>
      <c r="O63" s="1">
        <v>4361.7</v>
      </c>
      <c r="P63" s="1">
        <v>3404.1</v>
      </c>
      <c r="Q63" s="1">
        <v>957.59999999999991</v>
      </c>
      <c r="R63" t="s">
        <v>31</v>
      </c>
      <c r="S63">
        <v>2025</v>
      </c>
      <c r="T63" s="2">
        <v>0.2195474241694752</v>
      </c>
    </row>
    <row r="64" spans="1:20" x14ac:dyDescent="0.35">
      <c r="A64" t="s">
        <v>199</v>
      </c>
      <c r="B64" t="s">
        <v>200</v>
      </c>
      <c r="C64" t="s">
        <v>64</v>
      </c>
      <c r="D64" t="s">
        <v>65</v>
      </c>
      <c r="E64" t="s">
        <v>66</v>
      </c>
      <c r="F64" t="s">
        <v>95</v>
      </c>
      <c r="G64" t="s">
        <v>102</v>
      </c>
      <c r="H64" t="s">
        <v>103</v>
      </c>
      <c r="I64">
        <v>30</v>
      </c>
      <c r="J64">
        <v>157.82</v>
      </c>
      <c r="K64">
        <v>94.99</v>
      </c>
      <c r="L64" t="s">
        <v>28</v>
      </c>
      <c r="M64" t="s">
        <v>29</v>
      </c>
      <c r="N64" t="s">
        <v>70</v>
      </c>
      <c r="O64" s="1">
        <v>4734.5999999999995</v>
      </c>
      <c r="P64" s="1">
        <v>2849.7</v>
      </c>
      <c r="Q64" s="1">
        <v>1884.9</v>
      </c>
      <c r="R64" t="s">
        <v>31</v>
      </c>
      <c r="S64">
        <v>2025</v>
      </c>
      <c r="T64" s="2">
        <v>0.39811177290584199</v>
      </c>
    </row>
    <row r="65" spans="1:20" x14ac:dyDescent="0.35">
      <c r="A65" t="s">
        <v>201</v>
      </c>
      <c r="B65" t="s">
        <v>90</v>
      </c>
      <c r="C65" t="s">
        <v>73</v>
      </c>
      <c r="D65" t="s">
        <v>118</v>
      </c>
      <c r="E65" t="s">
        <v>119</v>
      </c>
      <c r="F65" t="s">
        <v>25</v>
      </c>
      <c r="G65" t="s">
        <v>56</v>
      </c>
      <c r="H65" t="s">
        <v>57</v>
      </c>
      <c r="I65">
        <v>36</v>
      </c>
      <c r="J65">
        <v>373.55</v>
      </c>
      <c r="K65">
        <v>280.45999999999998</v>
      </c>
      <c r="L65" t="s">
        <v>28</v>
      </c>
      <c r="M65" t="s">
        <v>29</v>
      </c>
      <c r="N65" t="s">
        <v>70</v>
      </c>
      <c r="O65" s="1">
        <v>13447.8</v>
      </c>
      <c r="P65" s="1">
        <v>10096.56</v>
      </c>
      <c r="Q65" s="1">
        <v>3351.2400000000021</v>
      </c>
      <c r="R65" t="s">
        <v>31</v>
      </c>
      <c r="S65">
        <v>2025</v>
      </c>
      <c r="T65" s="2">
        <v>0.24920358720385499</v>
      </c>
    </row>
    <row r="66" spans="1:20" x14ac:dyDescent="0.35">
      <c r="A66" t="s">
        <v>202</v>
      </c>
      <c r="B66" t="s">
        <v>203</v>
      </c>
      <c r="C66" t="s">
        <v>44</v>
      </c>
      <c r="D66" t="s">
        <v>45</v>
      </c>
      <c r="E66" t="s">
        <v>46</v>
      </c>
      <c r="F66" t="s">
        <v>67</v>
      </c>
      <c r="G66" t="s">
        <v>108</v>
      </c>
      <c r="H66" t="s">
        <v>109</v>
      </c>
      <c r="I66">
        <v>38</v>
      </c>
      <c r="J66">
        <v>282.08999999999997</v>
      </c>
      <c r="K66">
        <v>180.92</v>
      </c>
      <c r="L66" t="s">
        <v>28</v>
      </c>
      <c r="M66" t="s">
        <v>39</v>
      </c>
      <c r="N66" t="s">
        <v>70</v>
      </c>
      <c r="O66" s="1">
        <v>10719.42</v>
      </c>
      <c r="P66" s="1">
        <v>6874.9599999999991</v>
      </c>
      <c r="Q66" s="1">
        <v>3844.4599999999991</v>
      </c>
      <c r="R66" t="s">
        <v>61</v>
      </c>
      <c r="S66">
        <v>2025</v>
      </c>
      <c r="T66" s="2">
        <v>0.35864440426814143</v>
      </c>
    </row>
    <row r="67" spans="1:20" x14ac:dyDescent="0.35">
      <c r="A67" t="s">
        <v>204</v>
      </c>
      <c r="B67" t="s">
        <v>167</v>
      </c>
      <c r="C67" t="s">
        <v>44</v>
      </c>
      <c r="D67" t="s">
        <v>45</v>
      </c>
      <c r="E67" t="s">
        <v>46</v>
      </c>
      <c r="F67" t="s">
        <v>25</v>
      </c>
      <c r="G67" t="s">
        <v>26</v>
      </c>
      <c r="H67" t="s">
        <v>27</v>
      </c>
      <c r="I67">
        <v>16</v>
      </c>
      <c r="J67">
        <v>346.73</v>
      </c>
      <c r="K67">
        <v>240.71</v>
      </c>
      <c r="L67" t="s">
        <v>58</v>
      </c>
      <c r="M67" t="s">
        <v>39</v>
      </c>
      <c r="N67" t="s">
        <v>30</v>
      </c>
      <c r="O67" s="1">
        <v>5547.68</v>
      </c>
      <c r="P67" s="1">
        <v>3851.36</v>
      </c>
      <c r="Q67" s="1">
        <v>1696.32</v>
      </c>
      <c r="R67" t="s">
        <v>83</v>
      </c>
      <c r="S67">
        <v>2025</v>
      </c>
      <c r="T67" s="2">
        <v>0.3057710610561532</v>
      </c>
    </row>
    <row r="68" spans="1:20" x14ac:dyDescent="0.35">
      <c r="A68" t="s">
        <v>205</v>
      </c>
      <c r="B68" t="s">
        <v>184</v>
      </c>
      <c r="C68" t="s">
        <v>73</v>
      </c>
      <c r="D68" t="s">
        <v>74</v>
      </c>
      <c r="E68" t="s">
        <v>75</v>
      </c>
      <c r="F68" t="s">
        <v>36</v>
      </c>
      <c r="G68" t="s">
        <v>81</v>
      </c>
      <c r="H68" t="s">
        <v>82</v>
      </c>
      <c r="I68">
        <v>38</v>
      </c>
      <c r="J68">
        <v>126.35</v>
      </c>
      <c r="K68">
        <v>88.47</v>
      </c>
      <c r="L68" t="s">
        <v>58</v>
      </c>
      <c r="M68" t="s">
        <v>39</v>
      </c>
      <c r="N68" t="s">
        <v>30</v>
      </c>
      <c r="O68" s="1">
        <v>4801.3</v>
      </c>
      <c r="P68" s="1">
        <v>3361.86</v>
      </c>
      <c r="Q68" s="1">
        <v>1439.44</v>
      </c>
      <c r="R68" t="s">
        <v>78</v>
      </c>
      <c r="S68">
        <v>2025</v>
      </c>
      <c r="T68" s="2">
        <v>0.29980213692125052</v>
      </c>
    </row>
    <row r="69" spans="1:20" x14ac:dyDescent="0.35">
      <c r="A69" t="s">
        <v>206</v>
      </c>
      <c r="B69" t="s">
        <v>94</v>
      </c>
      <c r="C69" t="s">
        <v>73</v>
      </c>
      <c r="D69" t="s">
        <v>74</v>
      </c>
      <c r="E69" t="s">
        <v>75</v>
      </c>
      <c r="F69" t="s">
        <v>95</v>
      </c>
      <c r="G69" t="s">
        <v>96</v>
      </c>
      <c r="H69" t="s">
        <v>97</v>
      </c>
      <c r="I69">
        <v>16</v>
      </c>
      <c r="J69">
        <v>192.71</v>
      </c>
      <c r="K69">
        <v>141.47999999999999</v>
      </c>
      <c r="L69" t="s">
        <v>28</v>
      </c>
      <c r="M69" t="s">
        <v>39</v>
      </c>
      <c r="N69" t="s">
        <v>30</v>
      </c>
      <c r="O69" s="1">
        <v>3083.36</v>
      </c>
      <c r="P69" s="1">
        <v>2263.6799999999998</v>
      </c>
      <c r="Q69" s="1">
        <v>819.68000000000029</v>
      </c>
      <c r="R69" t="s">
        <v>83</v>
      </c>
      <c r="S69">
        <v>2025</v>
      </c>
      <c r="T69" s="2">
        <v>0.26583986300659029</v>
      </c>
    </row>
    <row r="70" spans="1:20" x14ac:dyDescent="0.35">
      <c r="A70" t="s">
        <v>207</v>
      </c>
      <c r="B70" t="s">
        <v>188</v>
      </c>
      <c r="C70" t="s">
        <v>64</v>
      </c>
      <c r="D70" t="s">
        <v>91</v>
      </c>
      <c r="E70" t="s">
        <v>92</v>
      </c>
      <c r="F70" t="s">
        <v>25</v>
      </c>
      <c r="G70" t="s">
        <v>26</v>
      </c>
      <c r="H70" t="s">
        <v>27</v>
      </c>
      <c r="I70">
        <v>27</v>
      </c>
      <c r="J70">
        <v>140.69</v>
      </c>
      <c r="K70">
        <v>71.900000000000006</v>
      </c>
      <c r="L70" t="s">
        <v>58</v>
      </c>
      <c r="M70" t="s">
        <v>39</v>
      </c>
      <c r="N70" t="s">
        <v>30</v>
      </c>
      <c r="O70" s="1">
        <v>3798.63</v>
      </c>
      <c r="P70" s="1">
        <v>1941.3</v>
      </c>
      <c r="Q70" s="1">
        <v>1857.33</v>
      </c>
      <c r="R70" t="s">
        <v>50</v>
      </c>
      <c r="S70">
        <v>2025</v>
      </c>
      <c r="T70" s="2">
        <v>0.48894733101144361</v>
      </c>
    </row>
    <row r="71" spans="1:20" x14ac:dyDescent="0.35">
      <c r="A71" t="s">
        <v>208</v>
      </c>
      <c r="B71" t="s">
        <v>209</v>
      </c>
      <c r="C71" t="s">
        <v>22</v>
      </c>
      <c r="D71" t="s">
        <v>23</v>
      </c>
      <c r="E71" t="s">
        <v>24</v>
      </c>
      <c r="F71" t="s">
        <v>36</v>
      </c>
      <c r="G71" t="s">
        <v>37</v>
      </c>
      <c r="H71" t="s">
        <v>38</v>
      </c>
      <c r="I71">
        <v>11</v>
      </c>
      <c r="J71">
        <v>210.56</v>
      </c>
      <c r="K71">
        <v>160.01</v>
      </c>
      <c r="L71" t="s">
        <v>28</v>
      </c>
      <c r="M71" t="s">
        <v>29</v>
      </c>
      <c r="N71" t="s">
        <v>70</v>
      </c>
      <c r="O71" s="1">
        <v>2316.16</v>
      </c>
      <c r="P71" s="1">
        <v>1760.11</v>
      </c>
      <c r="Q71" s="1">
        <v>556.04999999999995</v>
      </c>
      <c r="R71" t="s">
        <v>61</v>
      </c>
      <c r="S71">
        <v>2025</v>
      </c>
      <c r="T71" s="2">
        <v>0.24007408814589659</v>
      </c>
    </row>
    <row r="72" spans="1:20" x14ac:dyDescent="0.35">
      <c r="A72" t="s">
        <v>210</v>
      </c>
      <c r="B72" t="s">
        <v>211</v>
      </c>
      <c r="C72" t="s">
        <v>44</v>
      </c>
      <c r="D72" t="s">
        <v>45</v>
      </c>
      <c r="E72" t="s">
        <v>46</v>
      </c>
      <c r="F72" t="s">
        <v>36</v>
      </c>
      <c r="G72" t="s">
        <v>37</v>
      </c>
      <c r="H72" t="s">
        <v>38</v>
      </c>
      <c r="I72">
        <v>42</v>
      </c>
      <c r="J72">
        <v>106.52</v>
      </c>
      <c r="K72">
        <v>58.84</v>
      </c>
      <c r="L72" t="s">
        <v>28</v>
      </c>
      <c r="M72" t="s">
        <v>29</v>
      </c>
      <c r="N72" t="s">
        <v>30</v>
      </c>
      <c r="O72" s="1">
        <v>4473.84</v>
      </c>
      <c r="P72" s="1">
        <v>2471.2800000000002</v>
      </c>
      <c r="Q72" s="1">
        <v>2002.56</v>
      </c>
      <c r="R72" t="s">
        <v>50</v>
      </c>
      <c r="S72">
        <v>2025</v>
      </c>
      <c r="T72" s="2">
        <v>0.44761547127300028</v>
      </c>
    </row>
    <row r="73" spans="1:20" x14ac:dyDescent="0.35">
      <c r="A73" t="s">
        <v>212</v>
      </c>
      <c r="B73" t="s">
        <v>213</v>
      </c>
      <c r="C73" t="s">
        <v>22</v>
      </c>
      <c r="D73" t="s">
        <v>34</v>
      </c>
      <c r="E73" t="s">
        <v>35</v>
      </c>
      <c r="F73" t="s">
        <v>95</v>
      </c>
      <c r="G73" t="s">
        <v>96</v>
      </c>
      <c r="H73" t="s">
        <v>97</v>
      </c>
      <c r="I73">
        <v>31</v>
      </c>
      <c r="J73">
        <v>386.72</v>
      </c>
      <c r="K73">
        <v>245</v>
      </c>
      <c r="L73" t="s">
        <v>28</v>
      </c>
      <c r="M73" t="s">
        <v>29</v>
      </c>
      <c r="N73" t="s">
        <v>40</v>
      </c>
      <c r="O73" s="1">
        <v>11988.32</v>
      </c>
      <c r="P73" s="1">
        <v>7595</v>
      </c>
      <c r="Q73" s="1">
        <v>4393.3200000000024</v>
      </c>
      <c r="R73" t="s">
        <v>61</v>
      </c>
      <c r="S73">
        <v>2025</v>
      </c>
      <c r="T73" s="2">
        <v>0.36646669424906919</v>
      </c>
    </row>
    <row r="74" spans="1:20" x14ac:dyDescent="0.35">
      <c r="A74" t="s">
        <v>214</v>
      </c>
      <c r="B74" t="s">
        <v>215</v>
      </c>
      <c r="C74" t="s">
        <v>64</v>
      </c>
      <c r="D74" t="s">
        <v>65</v>
      </c>
      <c r="E74" t="s">
        <v>66</v>
      </c>
      <c r="F74" t="s">
        <v>95</v>
      </c>
      <c r="G74" t="s">
        <v>96</v>
      </c>
      <c r="H74" t="s">
        <v>97</v>
      </c>
      <c r="I74">
        <v>38</v>
      </c>
      <c r="J74">
        <v>341.31</v>
      </c>
      <c r="K74">
        <v>253.64</v>
      </c>
      <c r="L74" t="s">
        <v>28</v>
      </c>
      <c r="M74" t="s">
        <v>39</v>
      </c>
      <c r="N74" t="s">
        <v>40</v>
      </c>
      <c r="O74" s="1">
        <v>12969.78</v>
      </c>
      <c r="P74" s="1">
        <v>9638.32</v>
      </c>
      <c r="Q74" s="1">
        <v>3331.4600000000009</v>
      </c>
      <c r="R74" t="s">
        <v>83</v>
      </c>
      <c r="S74">
        <v>2025</v>
      </c>
      <c r="T74" s="2">
        <v>0.25686326213706018</v>
      </c>
    </row>
    <row r="75" spans="1:20" x14ac:dyDescent="0.35">
      <c r="A75" t="s">
        <v>216</v>
      </c>
      <c r="B75" t="s">
        <v>217</v>
      </c>
      <c r="C75" t="s">
        <v>22</v>
      </c>
      <c r="D75" t="s">
        <v>34</v>
      </c>
      <c r="E75" t="s">
        <v>35</v>
      </c>
      <c r="F75" t="s">
        <v>67</v>
      </c>
      <c r="G75" t="s">
        <v>68</v>
      </c>
      <c r="H75" t="s">
        <v>69</v>
      </c>
      <c r="I75">
        <v>47</v>
      </c>
      <c r="J75">
        <v>220.46</v>
      </c>
      <c r="K75">
        <v>175.9</v>
      </c>
      <c r="L75" t="s">
        <v>28</v>
      </c>
      <c r="M75" t="s">
        <v>29</v>
      </c>
      <c r="N75" t="s">
        <v>70</v>
      </c>
      <c r="O75" s="1">
        <v>10361.620000000001</v>
      </c>
      <c r="P75" s="1">
        <v>8267.3000000000011</v>
      </c>
      <c r="Q75" s="1">
        <v>2094.3200000000002</v>
      </c>
      <c r="R75" t="s">
        <v>61</v>
      </c>
      <c r="S75">
        <v>2025</v>
      </c>
      <c r="T75" s="2">
        <v>0.20212283407420839</v>
      </c>
    </row>
    <row r="76" spans="1:20" x14ac:dyDescent="0.35">
      <c r="A76" t="s">
        <v>218</v>
      </c>
      <c r="B76" t="s">
        <v>90</v>
      </c>
      <c r="C76" t="s">
        <v>64</v>
      </c>
      <c r="D76" t="s">
        <v>91</v>
      </c>
      <c r="E76" t="s">
        <v>92</v>
      </c>
      <c r="F76" t="s">
        <v>36</v>
      </c>
      <c r="G76" t="s">
        <v>37</v>
      </c>
      <c r="H76" t="s">
        <v>38</v>
      </c>
      <c r="I76">
        <v>11</v>
      </c>
      <c r="J76">
        <v>216.43</v>
      </c>
      <c r="K76">
        <v>115.19</v>
      </c>
      <c r="L76" t="s">
        <v>58</v>
      </c>
      <c r="M76" t="s">
        <v>29</v>
      </c>
      <c r="N76" t="s">
        <v>30</v>
      </c>
      <c r="O76" s="1">
        <v>2380.73</v>
      </c>
      <c r="P76" s="1">
        <v>1267.0899999999999</v>
      </c>
      <c r="Q76" s="1">
        <v>1113.6400000000001</v>
      </c>
      <c r="R76" t="s">
        <v>31</v>
      </c>
      <c r="S76">
        <v>2025</v>
      </c>
      <c r="T76" s="2">
        <v>0.46777248995056142</v>
      </c>
    </row>
    <row r="77" spans="1:20" x14ac:dyDescent="0.35">
      <c r="A77" t="s">
        <v>219</v>
      </c>
      <c r="B77" t="s">
        <v>220</v>
      </c>
      <c r="C77" t="s">
        <v>44</v>
      </c>
      <c r="D77" t="s">
        <v>45</v>
      </c>
      <c r="E77" t="s">
        <v>46</v>
      </c>
      <c r="F77" t="s">
        <v>36</v>
      </c>
      <c r="G77" t="s">
        <v>37</v>
      </c>
      <c r="H77" t="s">
        <v>38</v>
      </c>
      <c r="I77">
        <v>11</v>
      </c>
      <c r="J77">
        <v>115.9</v>
      </c>
      <c r="K77">
        <v>90.25</v>
      </c>
      <c r="L77" t="s">
        <v>28</v>
      </c>
      <c r="M77" t="s">
        <v>39</v>
      </c>
      <c r="N77" t="s">
        <v>70</v>
      </c>
      <c r="O77" s="1">
        <v>1274.9000000000001</v>
      </c>
      <c r="P77" s="1">
        <v>992.75</v>
      </c>
      <c r="Q77" s="1">
        <v>282.15000000000009</v>
      </c>
      <c r="R77" t="s">
        <v>61</v>
      </c>
      <c r="S77">
        <v>2025</v>
      </c>
      <c r="T77" s="2">
        <v>0.22131147540983609</v>
      </c>
    </row>
    <row r="78" spans="1:20" x14ac:dyDescent="0.35">
      <c r="A78" t="s">
        <v>221</v>
      </c>
      <c r="B78" t="s">
        <v>222</v>
      </c>
      <c r="C78" t="s">
        <v>73</v>
      </c>
      <c r="D78" t="s">
        <v>118</v>
      </c>
      <c r="E78" t="s">
        <v>119</v>
      </c>
      <c r="F78" t="s">
        <v>36</v>
      </c>
      <c r="G78" t="s">
        <v>81</v>
      </c>
      <c r="H78" t="s">
        <v>82</v>
      </c>
      <c r="I78">
        <v>28</v>
      </c>
      <c r="J78">
        <v>362.88</v>
      </c>
      <c r="K78">
        <v>235.37</v>
      </c>
      <c r="L78" t="s">
        <v>28</v>
      </c>
      <c r="M78" t="s">
        <v>29</v>
      </c>
      <c r="N78" t="s">
        <v>40</v>
      </c>
      <c r="O78" s="1">
        <v>10160.64</v>
      </c>
      <c r="P78" s="1">
        <v>6590.3600000000006</v>
      </c>
      <c r="Q78" s="1">
        <v>3570.2799999999988</v>
      </c>
      <c r="R78" t="s">
        <v>78</v>
      </c>
      <c r="S78">
        <v>2025</v>
      </c>
      <c r="T78" s="2">
        <v>0.351383377425044</v>
      </c>
    </row>
    <row r="79" spans="1:20" x14ac:dyDescent="0.35">
      <c r="A79" t="s">
        <v>223</v>
      </c>
      <c r="B79" t="s">
        <v>222</v>
      </c>
      <c r="C79" t="s">
        <v>22</v>
      </c>
      <c r="D79" t="s">
        <v>34</v>
      </c>
      <c r="E79" t="s">
        <v>35</v>
      </c>
      <c r="F79" t="s">
        <v>25</v>
      </c>
      <c r="G79" t="s">
        <v>26</v>
      </c>
      <c r="H79" t="s">
        <v>27</v>
      </c>
      <c r="I79">
        <v>29</v>
      </c>
      <c r="J79">
        <v>253.29</v>
      </c>
      <c r="K79">
        <v>170.46</v>
      </c>
      <c r="L79" t="s">
        <v>58</v>
      </c>
      <c r="M79" t="s">
        <v>39</v>
      </c>
      <c r="N79" t="s">
        <v>40</v>
      </c>
      <c r="O79" s="1">
        <v>7345.41</v>
      </c>
      <c r="P79" s="1">
        <v>4943.34</v>
      </c>
      <c r="Q79" s="1">
        <v>2402.0700000000002</v>
      </c>
      <c r="R79" t="s">
        <v>78</v>
      </c>
      <c r="S79">
        <v>2025</v>
      </c>
      <c r="T79" s="2">
        <v>0.3270164633424138</v>
      </c>
    </row>
    <row r="80" spans="1:20" x14ac:dyDescent="0.35">
      <c r="A80" t="s">
        <v>224</v>
      </c>
      <c r="B80" t="s">
        <v>55</v>
      </c>
      <c r="C80" t="s">
        <v>64</v>
      </c>
      <c r="D80" t="s">
        <v>65</v>
      </c>
      <c r="E80" t="s">
        <v>66</v>
      </c>
      <c r="F80" t="s">
        <v>25</v>
      </c>
      <c r="G80" t="s">
        <v>56</v>
      </c>
      <c r="H80" t="s">
        <v>57</v>
      </c>
      <c r="I80">
        <v>35</v>
      </c>
      <c r="J80">
        <v>287.42</v>
      </c>
      <c r="K80">
        <v>159.88</v>
      </c>
      <c r="L80" t="s">
        <v>58</v>
      </c>
      <c r="M80" t="s">
        <v>29</v>
      </c>
      <c r="N80" t="s">
        <v>30</v>
      </c>
      <c r="O80" s="1">
        <v>10059.700000000001</v>
      </c>
      <c r="P80" s="1">
        <v>5595.8</v>
      </c>
      <c r="Q80" s="1">
        <v>4463.9000000000005</v>
      </c>
      <c r="R80" t="s">
        <v>31</v>
      </c>
      <c r="S80">
        <v>2025</v>
      </c>
      <c r="T80" s="2">
        <v>0.44374086702386761</v>
      </c>
    </row>
    <row r="81" spans="1:20" x14ac:dyDescent="0.35">
      <c r="A81" t="s">
        <v>225</v>
      </c>
      <c r="B81" t="s">
        <v>171</v>
      </c>
      <c r="C81" t="s">
        <v>22</v>
      </c>
      <c r="D81" t="s">
        <v>23</v>
      </c>
      <c r="E81" t="s">
        <v>24</v>
      </c>
      <c r="F81" t="s">
        <v>67</v>
      </c>
      <c r="G81" t="s">
        <v>108</v>
      </c>
      <c r="H81" t="s">
        <v>109</v>
      </c>
      <c r="I81">
        <v>46</v>
      </c>
      <c r="J81">
        <v>278.74</v>
      </c>
      <c r="K81">
        <v>220.9</v>
      </c>
      <c r="L81" t="s">
        <v>28</v>
      </c>
      <c r="M81" t="s">
        <v>39</v>
      </c>
      <c r="N81" t="s">
        <v>40</v>
      </c>
      <c r="O81" s="1">
        <v>12822.04</v>
      </c>
      <c r="P81" s="1">
        <v>10161.4</v>
      </c>
      <c r="Q81" s="1">
        <v>2660.6400000000008</v>
      </c>
      <c r="R81" t="s">
        <v>50</v>
      </c>
      <c r="S81">
        <v>2025</v>
      </c>
      <c r="T81" s="2">
        <v>0.2075052019803402</v>
      </c>
    </row>
    <row r="82" spans="1:20" x14ac:dyDescent="0.35">
      <c r="A82" t="s">
        <v>226</v>
      </c>
      <c r="B82" t="s">
        <v>227</v>
      </c>
      <c r="C82" t="s">
        <v>86</v>
      </c>
      <c r="D82" t="s">
        <v>87</v>
      </c>
      <c r="E82" t="s">
        <v>88</v>
      </c>
      <c r="F82" t="s">
        <v>47</v>
      </c>
      <c r="G82" t="s">
        <v>48</v>
      </c>
      <c r="H82" t="s">
        <v>49</v>
      </c>
      <c r="I82">
        <v>34</v>
      </c>
      <c r="J82">
        <v>362.25</v>
      </c>
      <c r="K82">
        <v>223.65</v>
      </c>
      <c r="L82" t="s">
        <v>28</v>
      </c>
      <c r="M82" t="s">
        <v>29</v>
      </c>
      <c r="N82" t="s">
        <v>30</v>
      </c>
      <c r="O82" s="1">
        <v>12316.5</v>
      </c>
      <c r="P82" s="1">
        <v>7604.1</v>
      </c>
      <c r="Q82" s="1">
        <v>4712.3999999999996</v>
      </c>
      <c r="R82" t="s">
        <v>41</v>
      </c>
      <c r="S82">
        <v>2025</v>
      </c>
      <c r="T82" s="2">
        <v>0.38260869565217392</v>
      </c>
    </row>
    <row r="83" spans="1:20" x14ac:dyDescent="0.35">
      <c r="A83" t="s">
        <v>228</v>
      </c>
      <c r="B83" t="s">
        <v>222</v>
      </c>
      <c r="C83" t="s">
        <v>86</v>
      </c>
      <c r="D83" t="s">
        <v>87</v>
      </c>
      <c r="E83" t="s">
        <v>88</v>
      </c>
      <c r="F83" t="s">
        <v>47</v>
      </c>
      <c r="G83" t="s">
        <v>53</v>
      </c>
      <c r="H83" t="s">
        <v>38</v>
      </c>
      <c r="I83">
        <v>25</v>
      </c>
      <c r="J83">
        <v>114.58</v>
      </c>
      <c r="K83">
        <v>90.79</v>
      </c>
      <c r="L83" t="s">
        <v>58</v>
      </c>
      <c r="M83" t="s">
        <v>29</v>
      </c>
      <c r="N83" t="s">
        <v>30</v>
      </c>
      <c r="O83" s="1">
        <v>2864.5</v>
      </c>
      <c r="P83" s="1">
        <v>2269.75</v>
      </c>
      <c r="Q83" s="1">
        <v>594.75</v>
      </c>
      <c r="R83" t="s">
        <v>78</v>
      </c>
      <c r="S83">
        <v>2025</v>
      </c>
      <c r="T83" s="2">
        <v>0.20762785826496771</v>
      </c>
    </row>
    <row r="84" spans="1:20" x14ac:dyDescent="0.35">
      <c r="A84" t="s">
        <v>229</v>
      </c>
      <c r="B84" t="s">
        <v>161</v>
      </c>
      <c r="C84" t="s">
        <v>64</v>
      </c>
      <c r="D84" t="s">
        <v>65</v>
      </c>
      <c r="E84" t="s">
        <v>66</v>
      </c>
      <c r="F84" t="s">
        <v>36</v>
      </c>
      <c r="G84" t="s">
        <v>37</v>
      </c>
      <c r="H84" t="s">
        <v>38</v>
      </c>
      <c r="I84">
        <v>49</v>
      </c>
      <c r="J84">
        <v>68.260000000000005</v>
      </c>
      <c r="K84">
        <v>39.06</v>
      </c>
      <c r="L84" t="s">
        <v>58</v>
      </c>
      <c r="M84" t="s">
        <v>39</v>
      </c>
      <c r="N84" t="s">
        <v>40</v>
      </c>
      <c r="O84" s="1">
        <v>3344.74</v>
      </c>
      <c r="P84" s="1">
        <v>1913.94</v>
      </c>
      <c r="Q84" s="1">
        <v>1430.8</v>
      </c>
      <c r="R84" t="s">
        <v>41</v>
      </c>
      <c r="S84">
        <v>2025</v>
      </c>
      <c r="T84" s="2">
        <v>0.42777615001464991</v>
      </c>
    </row>
    <row r="85" spans="1:20" x14ac:dyDescent="0.35">
      <c r="A85" t="s">
        <v>230</v>
      </c>
      <c r="B85" t="s">
        <v>231</v>
      </c>
      <c r="C85" t="s">
        <v>44</v>
      </c>
      <c r="D85" t="s">
        <v>45</v>
      </c>
      <c r="E85" t="s">
        <v>46</v>
      </c>
      <c r="F85" t="s">
        <v>95</v>
      </c>
      <c r="G85" t="s">
        <v>102</v>
      </c>
      <c r="H85" t="s">
        <v>103</v>
      </c>
      <c r="I85">
        <v>11</v>
      </c>
      <c r="J85">
        <v>352.98</v>
      </c>
      <c r="K85">
        <v>263.12</v>
      </c>
      <c r="L85" t="s">
        <v>28</v>
      </c>
      <c r="M85" t="s">
        <v>29</v>
      </c>
      <c r="N85" t="s">
        <v>40</v>
      </c>
      <c r="O85" s="1">
        <v>3882.78</v>
      </c>
      <c r="P85" s="1">
        <v>2894.32</v>
      </c>
      <c r="Q85" s="1">
        <v>988.46</v>
      </c>
      <c r="R85" t="s">
        <v>31</v>
      </c>
      <c r="S85">
        <v>2025</v>
      </c>
      <c r="T85" s="2">
        <v>0.25457533004702809</v>
      </c>
    </row>
    <row r="86" spans="1:20" x14ac:dyDescent="0.35">
      <c r="A86" t="s">
        <v>232</v>
      </c>
      <c r="B86" t="s">
        <v>233</v>
      </c>
      <c r="C86" t="s">
        <v>64</v>
      </c>
      <c r="D86" t="s">
        <v>91</v>
      </c>
      <c r="E86" t="s">
        <v>92</v>
      </c>
      <c r="F86" t="s">
        <v>36</v>
      </c>
      <c r="G86" t="s">
        <v>37</v>
      </c>
      <c r="H86" t="s">
        <v>38</v>
      </c>
      <c r="I86">
        <v>45</v>
      </c>
      <c r="J86">
        <v>396.58</v>
      </c>
      <c r="K86">
        <v>263.93</v>
      </c>
      <c r="L86" t="s">
        <v>58</v>
      </c>
      <c r="M86" t="s">
        <v>39</v>
      </c>
      <c r="N86" t="s">
        <v>30</v>
      </c>
      <c r="O86" s="1">
        <v>17846.099999999999</v>
      </c>
      <c r="P86" s="1">
        <v>11876.85</v>
      </c>
      <c r="Q86" s="1">
        <v>5969.2499999999982</v>
      </c>
      <c r="R86" t="s">
        <v>61</v>
      </c>
      <c r="S86">
        <v>2025</v>
      </c>
      <c r="T86" s="2">
        <v>0.33448484542841278</v>
      </c>
    </row>
    <row r="87" spans="1:20" x14ac:dyDescent="0.35">
      <c r="A87" t="s">
        <v>234</v>
      </c>
      <c r="B87" t="s">
        <v>235</v>
      </c>
      <c r="C87" t="s">
        <v>86</v>
      </c>
      <c r="D87" t="s">
        <v>87</v>
      </c>
      <c r="E87" t="s">
        <v>88</v>
      </c>
      <c r="F87" t="s">
        <v>47</v>
      </c>
      <c r="G87" t="s">
        <v>48</v>
      </c>
      <c r="H87" t="s">
        <v>49</v>
      </c>
      <c r="I87">
        <v>35</v>
      </c>
      <c r="J87">
        <v>349.71</v>
      </c>
      <c r="K87">
        <v>255.97</v>
      </c>
      <c r="L87" t="s">
        <v>58</v>
      </c>
      <c r="M87" t="s">
        <v>39</v>
      </c>
      <c r="N87" t="s">
        <v>70</v>
      </c>
      <c r="O87" s="1">
        <v>12239.85</v>
      </c>
      <c r="P87" s="1">
        <v>8958.9500000000007</v>
      </c>
      <c r="Q87" s="1">
        <v>3280.8999999999978</v>
      </c>
      <c r="R87" t="s">
        <v>50</v>
      </c>
      <c r="S87">
        <v>2025</v>
      </c>
      <c r="T87" s="2">
        <v>0.26805067055560311</v>
      </c>
    </row>
    <row r="88" spans="1:20" x14ac:dyDescent="0.35">
      <c r="A88" t="s">
        <v>236</v>
      </c>
      <c r="B88" t="s">
        <v>117</v>
      </c>
      <c r="C88" t="s">
        <v>64</v>
      </c>
      <c r="D88" t="s">
        <v>65</v>
      </c>
      <c r="E88" t="s">
        <v>66</v>
      </c>
      <c r="F88" t="s">
        <v>95</v>
      </c>
      <c r="G88" t="s">
        <v>102</v>
      </c>
      <c r="H88" t="s">
        <v>103</v>
      </c>
      <c r="I88">
        <v>37</v>
      </c>
      <c r="J88">
        <v>133.37</v>
      </c>
      <c r="K88">
        <v>77.349999999999994</v>
      </c>
      <c r="L88" t="s">
        <v>28</v>
      </c>
      <c r="M88" t="s">
        <v>39</v>
      </c>
      <c r="N88" t="s">
        <v>70</v>
      </c>
      <c r="O88" s="1">
        <v>4934.6900000000014</v>
      </c>
      <c r="P88" s="1">
        <v>2861.95</v>
      </c>
      <c r="Q88" s="1">
        <v>2072.7400000000011</v>
      </c>
      <c r="R88" t="s">
        <v>41</v>
      </c>
      <c r="S88">
        <v>2025</v>
      </c>
      <c r="T88" s="2">
        <v>0.42003449051510838</v>
      </c>
    </row>
    <row r="89" spans="1:20" x14ac:dyDescent="0.35">
      <c r="A89" t="s">
        <v>237</v>
      </c>
      <c r="B89" t="s">
        <v>227</v>
      </c>
      <c r="C89" t="s">
        <v>22</v>
      </c>
      <c r="D89" t="s">
        <v>34</v>
      </c>
      <c r="E89" t="s">
        <v>35</v>
      </c>
      <c r="F89" t="s">
        <v>25</v>
      </c>
      <c r="G89" t="s">
        <v>56</v>
      </c>
      <c r="H89" t="s">
        <v>57</v>
      </c>
      <c r="I89">
        <v>33</v>
      </c>
      <c r="J89">
        <v>246.25</v>
      </c>
      <c r="K89">
        <v>194.9</v>
      </c>
      <c r="L89" t="s">
        <v>28</v>
      </c>
      <c r="M89" t="s">
        <v>39</v>
      </c>
      <c r="N89" t="s">
        <v>30</v>
      </c>
      <c r="O89" s="1">
        <v>8126.25</v>
      </c>
      <c r="P89" s="1">
        <v>6431.7</v>
      </c>
      <c r="Q89" s="1">
        <v>1694.55</v>
      </c>
      <c r="R89" t="s">
        <v>41</v>
      </c>
      <c r="S89">
        <v>2025</v>
      </c>
      <c r="T89" s="2">
        <v>0.20852791878172591</v>
      </c>
    </row>
    <row r="90" spans="1:20" x14ac:dyDescent="0.35">
      <c r="A90" t="s">
        <v>238</v>
      </c>
      <c r="B90" t="s">
        <v>186</v>
      </c>
      <c r="C90" t="s">
        <v>44</v>
      </c>
      <c r="D90" t="s">
        <v>45</v>
      </c>
      <c r="E90" t="s">
        <v>46</v>
      </c>
      <c r="F90" t="s">
        <v>25</v>
      </c>
      <c r="G90" t="s">
        <v>56</v>
      </c>
      <c r="H90" t="s">
        <v>57</v>
      </c>
      <c r="I90">
        <v>5</v>
      </c>
      <c r="J90">
        <v>160.34</v>
      </c>
      <c r="K90">
        <v>95.17</v>
      </c>
      <c r="L90" t="s">
        <v>28</v>
      </c>
      <c r="M90" t="s">
        <v>39</v>
      </c>
      <c r="N90" t="s">
        <v>40</v>
      </c>
      <c r="O90" s="1">
        <v>801.7</v>
      </c>
      <c r="P90" s="1">
        <v>475.85</v>
      </c>
      <c r="Q90" s="1">
        <v>325.85000000000002</v>
      </c>
      <c r="R90" t="s">
        <v>78</v>
      </c>
      <c r="S90">
        <v>2025</v>
      </c>
      <c r="T90" s="2">
        <v>0.40644879630784581</v>
      </c>
    </row>
    <row r="91" spans="1:20" x14ac:dyDescent="0.35">
      <c r="A91" t="s">
        <v>239</v>
      </c>
      <c r="B91" t="s">
        <v>240</v>
      </c>
      <c r="C91" t="s">
        <v>22</v>
      </c>
      <c r="D91" t="s">
        <v>34</v>
      </c>
      <c r="E91" t="s">
        <v>35</v>
      </c>
      <c r="F91" t="s">
        <v>25</v>
      </c>
      <c r="G91" t="s">
        <v>26</v>
      </c>
      <c r="H91" t="s">
        <v>27</v>
      </c>
      <c r="I91">
        <v>21</v>
      </c>
      <c r="J91">
        <v>304.64</v>
      </c>
      <c r="K91">
        <v>225.04</v>
      </c>
      <c r="L91" t="s">
        <v>28</v>
      </c>
      <c r="M91" t="s">
        <v>39</v>
      </c>
      <c r="N91" t="s">
        <v>70</v>
      </c>
      <c r="O91" s="1">
        <v>6397.44</v>
      </c>
      <c r="P91" s="1">
        <v>4725.84</v>
      </c>
      <c r="Q91" s="1">
        <v>1671.599999999999</v>
      </c>
      <c r="R91" t="s">
        <v>50</v>
      </c>
      <c r="S91">
        <v>2025</v>
      </c>
      <c r="T91" s="2">
        <v>0.26129201680672259</v>
      </c>
    </row>
    <row r="92" spans="1:20" x14ac:dyDescent="0.35">
      <c r="A92" t="s">
        <v>241</v>
      </c>
      <c r="B92" t="s">
        <v>135</v>
      </c>
      <c r="C92" t="s">
        <v>73</v>
      </c>
      <c r="D92" t="s">
        <v>118</v>
      </c>
      <c r="E92" t="s">
        <v>119</v>
      </c>
      <c r="F92" t="s">
        <v>95</v>
      </c>
      <c r="G92" t="s">
        <v>102</v>
      </c>
      <c r="H92" t="s">
        <v>103</v>
      </c>
      <c r="I92">
        <v>46</v>
      </c>
      <c r="J92">
        <v>99.43</v>
      </c>
      <c r="K92">
        <v>61.78</v>
      </c>
      <c r="L92" t="s">
        <v>58</v>
      </c>
      <c r="M92" t="s">
        <v>39</v>
      </c>
      <c r="N92" t="s">
        <v>30</v>
      </c>
      <c r="O92" s="1">
        <v>4573.7800000000007</v>
      </c>
      <c r="P92" s="1">
        <v>2841.88</v>
      </c>
      <c r="Q92" s="1">
        <v>1731.900000000001</v>
      </c>
      <c r="R92" t="s">
        <v>83</v>
      </c>
      <c r="S92">
        <v>2025</v>
      </c>
      <c r="T92" s="2">
        <v>0.37865835260987629</v>
      </c>
    </row>
    <row r="93" spans="1:20" x14ac:dyDescent="0.35">
      <c r="A93" t="s">
        <v>242</v>
      </c>
      <c r="B93" t="s">
        <v>186</v>
      </c>
      <c r="C93" t="s">
        <v>22</v>
      </c>
      <c r="D93" t="s">
        <v>23</v>
      </c>
      <c r="E93" t="s">
        <v>24</v>
      </c>
      <c r="F93" t="s">
        <v>67</v>
      </c>
      <c r="G93" t="s">
        <v>108</v>
      </c>
      <c r="H93" t="s">
        <v>109</v>
      </c>
      <c r="I93">
        <v>31</v>
      </c>
      <c r="J93">
        <v>285.08</v>
      </c>
      <c r="K93">
        <v>219.03</v>
      </c>
      <c r="L93" t="s">
        <v>28</v>
      </c>
      <c r="M93" t="s">
        <v>29</v>
      </c>
      <c r="N93" t="s">
        <v>70</v>
      </c>
      <c r="O93" s="1">
        <v>8837.48</v>
      </c>
      <c r="P93" s="1">
        <v>6789.93</v>
      </c>
      <c r="Q93" s="1">
        <v>2047.549999999999</v>
      </c>
      <c r="R93" t="s">
        <v>78</v>
      </c>
      <c r="S93">
        <v>2025</v>
      </c>
      <c r="T93" s="2">
        <v>0.2316893503577942</v>
      </c>
    </row>
    <row r="94" spans="1:20" x14ac:dyDescent="0.35">
      <c r="A94" t="s">
        <v>243</v>
      </c>
      <c r="B94" t="s">
        <v>167</v>
      </c>
      <c r="C94" t="s">
        <v>22</v>
      </c>
      <c r="D94" t="s">
        <v>34</v>
      </c>
      <c r="E94" t="s">
        <v>35</v>
      </c>
      <c r="F94" t="s">
        <v>47</v>
      </c>
      <c r="G94" t="s">
        <v>53</v>
      </c>
      <c r="H94" t="s">
        <v>38</v>
      </c>
      <c r="I94">
        <v>41</v>
      </c>
      <c r="J94">
        <v>279.8</v>
      </c>
      <c r="K94">
        <v>214.23</v>
      </c>
      <c r="L94" t="s">
        <v>58</v>
      </c>
      <c r="M94" t="s">
        <v>29</v>
      </c>
      <c r="N94" t="s">
        <v>70</v>
      </c>
      <c r="O94" s="1">
        <v>11471.8</v>
      </c>
      <c r="P94" s="1">
        <v>8783.43</v>
      </c>
      <c r="Q94" s="1">
        <v>2688.3700000000008</v>
      </c>
      <c r="R94" t="s">
        <v>83</v>
      </c>
      <c r="S94">
        <v>2025</v>
      </c>
      <c r="T94" s="2">
        <v>0.23434596140100081</v>
      </c>
    </row>
    <row r="95" spans="1:20" x14ac:dyDescent="0.35">
      <c r="A95" t="s">
        <v>244</v>
      </c>
      <c r="B95" t="s">
        <v>171</v>
      </c>
      <c r="C95" t="s">
        <v>86</v>
      </c>
      <c r="D95" t="s">
        <v>112</v>
      </c>
      <c r="E95" t="s">
        <v>113</v>
      </c>
      <c r="F95" t="s">
        <v>25</v>
      </c>
      <c r="G95" t="s">
        <v>26</v>
      </c>
      <c r="H95" t="s">
        <v>27</v>
      </c>
      <c r="I95">
        <v>18</v>
      </c>
      <c r="J95">
        <v>82.23</v>
      </c>
      <c r="K95">
        <v>47.01</v>
      </c>
      <c r="L95" t="s">
        <v>28</v>
      </c>
      <c r="M95" t="s">
        <v>39</v>
      </c>
      <c r="N95" t="s">
        <v>70</v>
      </c>
      <c r="O95" s="1">
        <v>1480.14</v>
      </c>
      <c r="P95" s="1">
        <v>846.18</v>
      </c>
      <c r="Q95" s="1">
        <v>633.96000000000015</v>
      </c>
      <c r="R95" t="s">
        <v>50</v>
      </c>
      <c r="S95">
        <v>2025</v>
      </c>
      <c r="T95" s="2">
        <v>0.4283108354615105</v>
      </c>
    </row>
    <row r="96" spans="1:20" x14ac:dyDescent="0.35">
      <c r="A96" t="s">
        <v>245</v>
      </c>
      <c r="B96" t="s">
        <v>246</v>
      </c>
      <c r="C96" t="s">
        <v>64</v>
      </c>
      <c r="D96" t="s">
        <v>91</v>
      </c>
      <c r="E96" t="s">
        <v>92</v>
      </c>
      <c r="F96" t="s">
        <v>67</v>
      </c>
      <c r="G96" t="s">
        <v>68</v>
      </c>
      <c r="H96" t="s">
        <v>69</v>
      </c>
      <c r="I96">
        <v>29</v>
      </c>
      <c r="J96">
        <v>35.590000000000003</v>
      </c>
      <c r="K96">
        <v>28.46</v>
      </c>
      <c r="L96" t="s">
        <v>58</v>
      </c>
      <c r="M96" t="s">
        <v>29</v>
      </c>
      <c r="N96" t="s">
        <v>40</v>
      </c>
      <c r="O96" s="1">
        <v>1032.1099999999999</v>
      </c>
      <c r="P96" s="1">
        <v>825.34</v>
      </c>
      <c r="Q96" s="1">
        <v>206.7700000000001</v>
      </c>
      <c r="R96" t="s">
        <v>78</v>
      </c>
      <c r="S96">
        <v>2025</v>
      </c>
      <c r="T96" s="2">
        <v>0.20033717336330439</v>
      </c>
    </row>
    <row r="97" spans="1:20" x14ac:dyDescent="0.35">
      <c r="A97" t="s">
        <v>247</v>
      </c>
      <c r="B97" t="s">
        <v>184</v>
      </c>
      <c r="C97" t="s">
        <v>64</v>
      </c>
      <c r="D97" t="s">
        <v>65</v>
      </c>
      <c r="E97" t="s">
        <v>66</v>
      </c>
      <c r="F97" t="s">
        <v>25</v>
      </c>
      <c r="G97" t="s">
        <v>26</v>
      </c>
      <c r="H97" t="s">
        <v>27</v>
      </c>
      <c r="I97">
        <v>20</v>
      </c>
      <c r="J97">
        <v>260.63</v>
      </c>
      <c r="K97">
        <v>159.69</v>
      </c>
      <c r="L97" t="s">
        <v>28</v>
      </c>
      <c r="M97" t="s">
        <v>39</v>
      </c>
      <c r="N97" t="s">
        <v>70</v>
      </c>
      <c r="O97" s="1">
        <v>5212.6000000000004</v>
      </c>
      <c r="P97" s="1">
        <v>3193.8</v>
      </c>
      <c r="Q97" s="1">
        <v>2018.8</v>
      </c>
      <c r="R97" t="s">
        <v>78</v>
      </c>
      <c r="S97">
        <v>2025</v>
      </c>
      <c r="T97" s="2">
        <v>0.38729233012316311</v>
      </c>
    </row>
    <row r="98" spans="1:20" x14ac:dyDescent="0.35">
      <c r="A98" t="s">
        <v>248</v>
      </c>
      <c r="B98" t="s">
        <v>211</v>
      </c>
      <c r="C98" t="s">
        <v>86</v>
      </c>
      <c r="D98" t="s">
        <v>87</v>
      </c>
      <c r="E98" t="s">
        <v>88</v>
      </c>
      <c r="F98" t="s">
        <v>25</v>
      </c>
      <c r="G98" t="s">
        <v>26</v>
      </c>
      <c r="H98" t="s">
        <v>27</v>
      </c>
      <c r="I98">
        <v>5</v>
      </c>
      <c r="J98">
        <v>241.04</v>
      </c>
      <c r="K98">
        <v>178.93</v>
      </c>
      <c r="L98" t="s">
        <v>28</v>
      </c>
      <c r="M98" t="s">
        <v>39</v>
      </c>
      <c r="N98" t="s">
        <v>30</v>
      </c>
      <c r="O98" s="1">
        <v>1205.2</v>
      </c>
      <c r="P98" s="1">
        <v>894.65000000000009</v>
      </c>
      <c r="Q98" s="1">
        <v>310.55</v>
      </c>
      <c r="R98" t="s">
        <v>50</v>
      </c>
      <c r="S98">
        <v>2025</v>
      </c>
      <c r="T98" s="2">
        <v>0.25767507467640222</v>
      </c>
    </row>
    <row r="99" spans="1:20" x14ac:dyDescent="0.35">
      <c r="A99" t="s">
        <v>249</v>
      </c>
      <c r="B99" t="s">
        <v>250</v>
      </c>
      <c r="C99" t="s">
        <v>44</v>
      </c>
      <c r="D99" t="s">
        <v>45</v>
      </c>
      <c r="E99" t="s">
        <v>46</v>
      </c>
      <c r="F99" t="s">
        <v>36</v>
      </c>
      <c r="G99" t="s">
        <v>81</v>
      </c>
      <c r="H99" t="s">
        <v>82</v>
      </c>
      <c r="I99">
        <v>37</v>
      </c>
      <c r="J99">
        <v>159.03</v>
      </c>
      <c r="K99">
        <v>86.8</v>
      </c>
      <c r="L99" t="s">
        <v>58</v>
      </c>
      <c r="M99" t="s">
        <v>39</v>
      </c>
      <c r="N99" t="s">
        <v>70</v>
      </c>
      <c r="O99" s="1">
        <v>5884.11</v>
      </c>
      <c r="P99" s="1">
        <v>3211.6</v>
      </c>
      <c r="Q99" s="1">
        <v>2672.51</v>
      </c>
      <c r="R99" t="s">
        <v>61</v>
      </c>
      <c r="S99">
        <v>2025</v>
      </c>
      <c r="T99" s="2">
        <v>0.45419103313840148</v>
      </c>
    </row>
    <row r="100" spans="1:20" x14ac:dyDescent="0.35">
      <c r="A100" t="s">
        <v>251</v>
      </c>
      <c r="B100" t="s">
        <v>215</v>
      </c>
      <c r="C100" t="s">
        <v>73</v>
      </c>
      <c r="D100" t="s">
        <v>74</v>
      </c>
      <c r="E100" t="s">
        <v>75</v>
      </c>
      <c r="F100" t="s">
        <v>47</v>
      </c>
      <c r="G100" t="s">
        <v>48</v>
      </c>
      <c r="H100" t="s">
        <v>49</v>
      </c>
      <c r="I100">
        <v>14</v>
      </c>
      <c r="J100">
        <v>89.94</v>
      </c>
      <c r="K100">
        <v>60.03</v>
      </c>
      <c r="L100" t="s">
        <v>28</v>
      </c>
      <c r="M100" t="s">
        <v>39</v>
      </c>
      <c r="N100" t="s">
        <v>70</v>
      </c>
      <c r="O100" s="1">
        <v>1259.1600000000001</v>
      </c>
      <c r="P100" s="1">
        <v>840.42000000000007</v>
      </c>
      <c r="Q100" s="1">
        <v>418.73999999999978</v>
      </c>
      <c r="R100" t="s">
        <v>83</v>
      </c>
      <c r="S100">
        <v>2025</v>
      </c>
      <c r="T100" s="2">
        <v>0.33255503669112729</v>
      </c>
    </row>
    <row r="101" spans="1:20" x14ac:dyDescent="0.35">
      <c r="A101" t="s">
        <v>252</v>
      </c>
      <c r="B101" t="s">
        <v>253</v>
      </c>
      <c r="C101" t="s">
        <v>73</v>
      </c>
      <c r="D101" t="s">
        <v>74</v>
      </c>
      <c r="E101" t="s">
        <v>75</v>
      </c>
      <c r="F101" t="s">
        <v>67</v>
      </c>
      <c r="G101" t="s">
        <v>68</v>
      </c>
      <c r="H101" t="s">
        <v>69</v>
      </c>
      <c r="I101">
        <v>36</v>
      </c>
      <c r="J101">
        <v>261.39999999999998</v>
      </c>
      <c r="K101">
        <v>207.39</v>
      </c>
      <c r="L101" t="s">
        <v>28</v>
      </c>
      <c r="M101" t="s">
        <v>29</v>
      </c>
      <c r="N101" t="s">
        <v>30</v>
      </c>
      <c r="O101" s="1">
        <v>9410.4</v>
      </c>
      <c r="P101" s="1">
        <v>7466.0399999999991</v>
      </c>
      <c r="Q101" s="1">
        <v>1944.360000000001</v>
      </c>
      <c r="R101" t="s">
        <v>50</v>
      </c>
      <c r="S101">
        <v>2025</v>
      </c>
      <c r="T101" s="2">
        <v>0.2066182096403979</v>
      </c>
    </row>
    <row r="102" spans="1:20" x14ac:dyDescent="0.35">
      <c r="A102" t="s">
        <v>254</v>
      </c>
      <c r="B102" t="s">
        <v>169</v>
      </c>
      <c r="C102" t="s">
        <v>86</v>
      </c>
      <c r="D102" t="s">
        <v>112</v>
      </c>
      <c r="E102" t="s">
        <v>113</v>
      </c>
      <c r="F102" t="s">
        <v>47</v>
      </c>
      <c r="G102" t="s">
        <v>53</v>
      </c>
      <c r="H102" t="s">
        <v>38</v>
      </c>
      <c r="I102">
        <v>34</v>
      </c>
      <c r="J102">
        <v>233.43</v>
      </c>
      <c r="K102">
        <v>143.41999999999999</v>
      </c>
      <c r="L102" t="s">
        <v>28</v>
      </c>
      <c r="M102" t="s">
        <v>39</v>
      </c>
      <c r="N102" t="s">
        <v>70</v>
      </c>
      <c r="O102" s="1">
        <v>7936.62</v>
      </c>
      <c r="P102" s="1">
        <v>4876.28</v>
      </c>
      <c r="Q102" s="1">
        <v>3060.34</v>
      </c>
      <c r="R102" t="s">
        <v>61</v>
      </c>
      <c r="S102">
        <v>2025</v>
      </c>
      <c r="T102" s="2">
        <v>0.3855973953647775</v>
      </c>
    </row>
    <row r="103" spans="1:20" x14ac:dyDescent="0.35">
      <c r="A103" t="s">
        <v>255</v>
      </c>
      <c r="B103" t="s">
        <v>256</v>
      </c>
      <c r="C103" t="s">
        <v>73</v>
      </c>
      <c r="D103" t="s">
        <v>118</v>
      </c>
      <c r="E103" t="s">
        <v>119</v>
      </c>
      <c r="F103" t="s">
        <v>47</v>
      </c>
      <c r="G103" t="s">
        <v>48</v>
      </c>
      <c r="H103" t="s">
        <v>49</v>
      </c>
      <c r="I103">
        <v>48</v>
      </c>
      <c r="J103">
        <v>112.99</v>
      </c>
      <c r="K103">
        <v>89.58</v>
      </c>
      <c r="L103" t="s">
        <v>28</v>
      </c>
      <c r="M103" t="s">
        <v>39</v>
      </c>
      <c r="N103" t="s">
        <v>30</v>
      </c>
      <c r="O103" s="1">
        <v>5423.52</v>
      </c>
      <c r="P103" s="1">
        <v>4299.84</v>
      </c>
      <c r="Q103" s="1">
        <v>1123.6799999999989</v>
      </c>
      <c r="R103" t="s">
        <v>50</v>
      </c>
      <c r="S103">
        <v>2025</v>
      </c>
      <c r="T103" s="2">
        <v>0.20718647667935211</v>
      </c>
    </row>
    <row r="104" spans="1:20" x14ac:dyDescent="0.35">
      <c r="A104" t="s">
        <v>257</v>
      </c>
      <c r="B104" t="s">
        <v>258</v>
      </c>
      <c r="C104" t="s">
        <v>22</v>
      </c>
      <c r="D104" t="s">
        <v>23</v>
      </c>
      <c r="E104" t="s">
        <v>24</v>
      </c>
      <c r="F104" t="s">
        <v>25</v>
      </c>
      <c r="G104" t="s">
        <v>56</v>
      </c>
      <c r="H104" t="s">
        <v>57</v>
      </c>
      <c r="I104">
        <v>31</v>
      </c>
      <c r="J104">
        <v>53.45</v>
      </c>
      <c r="K104">
        <v>31.54</v>
      </c>
      <c r="L104" t="s">
        <v>28</v>
      </c>
      <c r="M104" t="s">
        <v>29</v>
      </c>
      <c r="N104" t="s">
        <v>40</v>
      </c>
      <c r="O104" s="1">
        <v>1656.95</v>
      </c>
      <c r="P104" s="1">
        <v>977.74</v>
      </c>
      <c r="Q104" s="1">
        <v>679.21</v>
      </c>
      <c r="R104" t="s">
        <v>41</v>
      </c>
      <c r="S104">
        <v>2025</v>
      </c>
      <c r="T104" s="2">
        <v>0.40991580916744619</v>
      </c>
    </row>
    <row r="105" spans="1:20" x14ac:dyDescent="0.35">
      <c r="A105" t="s">
        <v>259</v>
      </c>
      <c r="B105" t="s">
        <v>260</v>
      </c>
      <c r="C105" t="s">
        <v>86</v>
      </c>
      <c r="D105" t="s">
        <v>112</v>
      </c>
      <c r="E105" t="s">
        <v>113</v>
      </c>
      <c r="F105" t="s">
        <v>95</v>
      </c>
      <c r="G105" t="s">
        <v>102</v>
      </c>
      <c r="H105" t="s">
        <v>103</v>
      </c>
      <c r="I105">
        <v>10</v>
      </c>
      <c r="J105">
        <v>169.03</v>
      </c>
      <c r="K105">
        <v>96.82</v>
      </c>
      <c r="L105" t="s">
        <v>58</v>
      </c>
      <c r="M105" t="s">
        <v>29</v>
      </c>
      <c r="N105" t="s">
        <v>40</v>
      </c>
      <c r="O105" s="1">
        <v>1690.3</v>
      </c>
      <c r="P105" s="1">
        <v>968.19999999999993</v>
      </c>
      <c r="Q105" s="1">
        <v>722.1</v>
      </c>
      <c r="R105" t="s">
        <v>78</v>
      </c>
      <c r="S105">
        <v>2025</v>
      </c>
      <c r="T105" s="2">
        <v>0.42720227178607351</v>
      </c>
    </row>
    <row r="106" spans="1:20" x14ac:dyDescent="0.35">
      <c r="A106" t="s">
        <v>261</v>
      </c>
      <c r="B106" t="s">
        <v>262</v>
      </c>
      <c r="C106" t="s">
        <v>22</v>
      </c>
      <c r="D106" t="s">
        <v>23</v>
      </c>
      <c r="E106" t="s">
        <v>24</v>
      </c>
      <c r="F106" t="s">
        <v>25</v>
      </c>
      <c r="G106" t="s">
        <v>26</v>
      </c>
      <c r="H106" t="s">
        <v>27</v>
      </c>
      <c r="I106">
        <v>14</v>
      </c>
      <c r="J106">
        <v>280.07</v>
      </c>
      <c r="K106">
        <v>150.9</v>
      </c>
      <c r="L106" t="s">
        <v>28</v>
      </c>
      <c r="M106" t="s">
        <v>29</v>
      </c>
      <c r="N106" t="s">
        <v>70</v>
      </c>
      <c r="O106" s="1">
        <v>3920.98</v>
      </c>
      <c r="P106" s="1">
        <v>2112.6</v>
      </c>
      <c r="Q106" s="1">
        <v>1808.38</v>
      </c>
      <c r="R106" t="s">
        <v>31</v>
      </c>
      <c r="S106">
        <v>2025</v>
      </c>
      <c r="T106" s="2">
        <v>0.46120612703966868</v>
      </c>
    </row>
    <row r="107" spans="1:20" x14ac:dyDescent="0.35">
      <c r="A107" t="s">
        <v>263</v>
      </c>
      <c r="B107" t="s">
        <v>264</v>
      </c>
      <c r="C107" t="s">
        <v>73</v>
      </c>
      <c r="D107" t="s">
        <v>74</v>
      </c>
      <c r="E107" t="s">
        <v>75</v>
      </c>
      <c r="F107" t="s">
        <v>36</v>
      </c>
      <c r="G107" t="s">
        <v>81</v>
      </c>
      <c r="H107" t="s">
        <v>82</v>
      </c>
      <c r="I107">
        <v>9</v>
      </c>
      <c r="J107">
        <v>117.2</v>
      </c>
      <c r="K107">
        <v>71.77</v>
      </c>
      <c r="L107" t="s">
        <v>28</v>
      </c>
      <c r="M107" t="s">
        <v>29</v>
      </c>
      <c r="N107" t="s">
        <v>70</v>
      </c>
      <c r="O107" s="1">
        <v>1054.8</v>
      </c>
      <c r="P107" s="1">
        <v>645.92999999999995</v>
      </c>
      <c r="Q107" s="1">
        <v>408.87</v>
      </c>
      <c r="R107" t="s">
        <v>61</v>
      </c>
      <c r="S107">
        <v>2025</v>
      </c>
      <c r="T107" s="2">
        <v>0.3876279863481229</v>
      </c>
    </row>
    <row r="108" spans="1:20" x14ac:dyDescent="0.35">
      <c r="A108" t="s">
        <v>265</v>
      </c>
      <c r="B108" t="s">
        <v>203</v>
      </c>
      <c r="C108" t="s">
        <v>73</v>
      </c>
      <c r="D108" t="s">
        <v>118</v>
      </c>
      <c r="E108" t="s">
        <v>119</v>
      </c>
      <c r="F108" t="s">
        <v>47</v>
      </c>
      <c r="G108" t="s">
        <v>48</v>
      </c>
      <c r="H108" t="s">
        <v>49</v>
      </c>
      <c r="I108">
        <v>18</v>
      </c>
      <c r="J108">
        <v>46.71</v>
      </c>
      <c r="K108">
        <v>28.85</v>
      </c>
      <c r="L108" t="s">
        <v>58</v>
      </c>
      <c r="M108" t="s">
        <v>39</v>
      </c>
      <c r="N108" t="s">
        <v>70</v>
      </c>
      <c r="O108" s="1">
        <v>840.78</v>
      </c>
      <c r="P108" s="1">
        <v>519.30000000000007</v>
      </c>
      <c r="Q108" s="1">
        <v>321.4799999999999</v>
      </c>
      <c r="R108" t="s">
        <v>61</v>
      </c>
      <c r="S108">
        <v>2025</v>
      </c>
      <c r="T108" s="2">
        <v>0.38235923785056719</v>
      </c>
    </row>
    <row r="109" spans="1:20" x14ac:dyDescent="0.35">
      <c r="A109" t="s">
        <v>266</v>
      </c>
      <c r="B109" t="s">
        <v>151</v>
      </c>
      <c r="C109" t="s">
        <v>22</v>
      </c>
      <c r="D109" t="s">
        <v>34</v>
      </c>
      <c r="E109" t="s">
        <v>35</v>
      </c>
      <c r="F109" t="s">
        <v>95</v>
      </c>
      <c r="G109" t="s">
        <v>102</v>
      </c>
      <c r="H109" t="s">
        <v>103</v>
      </c>
      <c r="I109">
        <v>10</v>
      </c>
      <c r="J109">
        <v>371.52</v>
      </c>
      <c r="K109">
        <v>268.32</v>
      </c>
      <c r="L109" t="s">
        <v>58</v>
      </c>
      <c r="M109" t="s">
        <v>39</v>
      </c>
      <c r="N109" t="s">
        <v>70</v>
      </c>
      <c r="O109" s="1">
        <v>3715.2</v>
      </c>
      <c r="P109" s="1">
        <v>2683.2</v>
      </c>
      <c r="Q109" s="1">
        <v>1032</v>
      </c>
      <c r="R109" t="s">
        <v>31</v>
      </c>
      <c r="S109">
        <v>2025</v>
      </c>
      <c r="T109" s="2">
        <v>0.27777777777777779</v>
      </c>
    </row>
    <row r="110" spans="1:20" x14ac:dyDescent="0.35">
      <c r="A110" t="s">
        <v>267</v>
      </c>
      <c r="B110" t="s">
        <v>186</v>
      </c>
      <c r="C110" t="s">
        <v>44</v>
      </c>
      <c r="D110" t="s">
        <v>45</v>
      </c>
      <c r="E110" t="s">
        <v>46</v>
      </c>
      <c r="F110" t="s">
        <v>36</v>
      </c>
      <c r="G110" t="s">
        <v>81</v>
      </c>
      <c r="H110" t="s">
        <v>82</v>
      </c>
      <c r="I110">
        <v>28</v>
      </c>
      <c r="J110">
        <v>251.8</v>
      </c>
      <c r="K110">
        <v>187.83</v>
      </c>
      <c r="L110" t="s">
        <v>58</v>
      </c>
      <c r="M110" t="s">
        <v>39</v>
      </c>
      <c r="N110" t="s">
        <v>30</v>
      </c>
      <c r="O110" s="1">
        <v>7050.4000000000005</v>
      </c>
      <c r="P110" s="1">
        <v>5259.2400000000007</v>
      </c>
      <c r="Q110" s="1">
        <v>1791.16</v>
      </c>
      <c r="R110" t="s">
        <v>78</v>
      </c>
      <c r="S110">
        <v>2025</v>
      </c>
      <c r="T110" s="2">
        <v>0.25405083399523432</v>
      </c>
    </row>
    <row r="111" spans="1:20" x14ac:dyDescent="0.35">
      <c r="A111" t="s">
        <v>268</v>
      </c>
      <c r="B111" t="s">
        <v>269</v>
      </c>
      <c r="C111" t="s">
        <v>86</v>
      </c>
      <c r="D111" t="s">
        <v>87</v>
      </c>
      <c r="E111" t="s">
        <v>88</v>
      </c>
      <c r="F111" t="s">
        <v>25</v>
      </c>
      <c r="G111" t="s">
        <v>56</v>
      </c>
      <c r="H111" t="s">
        <v>57</v>
      </c>
      <c r="I111">
        <v>8</v>
      </c>
      <c r="J111">
        <v>217.1</v>
      </c>
      <c r="K111">
        <v>153.68</v>
      </c>
      <c r="L111" t="s">
        <v>28</v>
      </c>
      <c r="M111" t="s">
        <v>29</v>
      </c>
      <c r="N111" t="s">
        <v>70</v>
      </c>
      <c r="O111" s="1">
        <v>1736.8</v>
      </c>
      <c r="P111" s="1">
        <v>1229.44</v>
      </c>
      <c r="Q111" s="1">
        <v>507.3599999999999</v>
      </c>
      <c r="R111" t="s">
        <v>41</v>
      </c>
      <c r="S111">
        <v>2025</v>
      </c>
      <c r="T111" s="2">
        <v>0.29212344541685847</v>
      </c>
    </row>
    <row r="112" spans="1:20" x14ac:dyDescent="0.35">
      <c r="A112" t="s">
        <v>270</v>
      </c>
      <c r="B112" t="s">
        <v>171</v>
      </c>
      <c r="C112" t="s">
        <v>64</v>
      </c>
      <c r="D112" t="s">
        <v>91</v>
      </c>
      <c r="E112" t="s">
        <v>92</v>
      </c>
      <c r="F112" t="s">
        <v>95</v>
      </c>
      <c r="G112" t="s">
        <v>102</v>
      </c>
      <c r="H112" t="s">
        <v>103</v>
      </c>
      <c r="I112">
        <v>43</v>
      </c>
      <c r="J112">
        <v>325.95999999999998</v>
      </c>
      <c r="K112">
        <v>222.89</v>
      </c>
      <c r="L112" t="s">
        <v>28</v>
      </c>
      <c r="M112" t="s">
        <v>39</v>
      </c>
      <c r="N112" t="s">
        <v>70</v>
      </c>
      <c r="O112" s="1">
        <v>14016.28</v>
      </c>
      <c r="P112" s="1">
        <v>9584.2699999999986</v>
      </c>
      <c r="Q112" s="1">
        <v>4432.01</v>
      </c>
      <c r="R112" t="s">
        <v>50</v>
      </c>
      <c r="S112">
        <v>2025</v>
      </c>
      <c r="T112" s="2">
        <v>0.31620444226285438</v>
      </c>
    </row>
    <row r="113" spans="1:20" x14ac:dyDescent="0.35">
      <c r="A113" t="s">
        <v>271</v>
      </c>
      <c r="B113" t="s">
        <v>43</v>
      </c>
      <c r="C113" t="s">
        <v>86</v>
      </c>
      <c r="D113" t="s">
        <v>87</v>
      </c>
      <c r="E113" t="s">
        <v>88</v>
      </c>
      <c r="F113" t="s">
        <v>25</v>
      </c>
      <c r="G113" t="s">
        <v>56</v>
      </c>
      <c r="H113" t="s">
        <v>57</v>
      </c>
      <c r="I113">
        <v>42</v>
      </c>
      <c r="J113">
        <v>171.21</v>
      </c>
      <c r="K113">
        <v>101.44</v>
      </c>
      <c r="L113" t="s">
        <v>28</v>
      </c>
      <c r="M113" t="s">
        <v>39</v>
      </c>
      <c r="N113" t="s">
        <v>40</v>
      </c>
      <c r="O113" s="1">
        <v>7190.8200000000006</v>
      </c>
      <c r="P113" s="1">
        <v>4260.4799999999996</v>
      </c>
      <c r="Q113" s="1">
        <v>2930.3400000000011</v>
      </c>
      <c r="R113" t="s">
        <v>50</v>
      </c>
      <c r="S113">
        <v>2025</v>
      </c>
      <c r="T113" s="2">
        <v>0.40751124350213203</v>
      </c>
    </row>
    <row r="114" spans="1:20" x14ac:dyDescent="0.35">
      <c r="A114" t="s">
        <v>272</v>
      </c>
      <c r="B114" t="s">
        <v>273</v>
      </c>
      <c r="C114" t="s">
        <v>86</v>
      </c>
      <c r="D114" t="s">
        <v>112</v>
      </c>
      <c r="E114" t="s">
        <v>113</v>
      </c>
      <c r="F114" t="s">
        <v>67</v>
      </c>
      <c r="G114" t="s">
        <v>68</v>
      </c>
      <c r="H114" t="s">
        <v>69</v>
      </c>
      <c r="I114">
        <v>8</v>
      </c>
      <c r="J114">
        <v>327.85</v>
      </c>
      <c r="K114">
        <v>237.92</v>
      </c>
      <c r="L114" t="s">
        <v>58</v>
      </c>
      <c r="M114" t="s">
        <v>39</v>
      </c>
      <c r="N114" t="s">
        <v>40</v>
      </c>
      <c r="O114" s="1">
        <v>2622.8</v>
      </c>
      <c r="P114" s="1">
        <v>1903.36</v>
      </c>
      <c r="Q114" s="1">
        <v>719.44000000000028</v>
      </c>
      <c r="R114" t="s">
        <v>61</v>
      </c>
      <c r="S114">
        <v>2025</v>
      </c>
      <c r="T114" s="2">
        <v>0.27430227238066202</v>
      </c>
    </row>
    <row r="115" spans="1:20" x14ac:dyDescent="0.35">
      <c r="A115" t="s">
        <v>274</v>
      </c>
      <c r="B115" t="s">
        <v>275</v>
      </c>
      <c r="C115" t="s">
        <v>44</v>
      </c>
      <c r="D115" t="s">
        <v>45</v>
      </c>
      <c r="E115" t="s">
        <v>46</v>
      </c>
      <c r="F115" t="s">
        <v>95</v>
      </c>
      <c r="G115" t="s">
        <v>96</v>
      </c>
      <c r="H115" t="s">
        <v>97</v>
      </c>
      <c r="I115">
        <v>43</v>
      </c>
      <c r="J115">
        <v>89.32</v>
      </c>
      <c r="K115">
        <v>66.41</v>
      </c>
      <c r="L115" t="s">
        <v>58</v>
      </c>
      <c r="M115" t="s">
        <v>39</v>
      </c>
      <c r="N115" t="s">
        <v>70</v>
      </c>
      <c r="O115" s="1">
        <v>3840.76</v>
      </c>
      <c r="P115" s="1">
        <v>2855.63</v>
      </c>
      <c r="Q115" s="1">
        <v>985.13000000000011</v>
      </c>
      <c r="R115" t="s">
        <v>31</v>
      </c>
      <c r="S115">
        <v>2025</v>
      </c>
      <c r="T115" s="2">
        <v>0.25649350649350661</v>
      </c>
    </row>
    <row r="116" spans="1:20" x14ac:dyDescent="0.35">
      <c r="A116" t="s">
        <v>276</v>
      </c>
      <c r="B116" t="s">
        <v>277</v>
      </c>
      <c r="C116" t="s">
        <v>44</v>
      </c>
      <c r="D116" t="s">
        <v>45</v>
      </c>
      <c r="E116" t="s">
        <v>46</v>
      </c>
      <c r="F116" t="s">
        <v>36</v>
      </c>
      <c r="G116" t="s">
        <v>81</v>
      </c>
      <c r="H116" t="s">
        <v>82</v>
      </c>
      <c r="I116">
        <v>28</v>
      </c>
      <c r="J116">
        <v>350.35</v>
      </c>
      <c r="K116">
        <v>225.99</v>
      </c>
      <c r="L116" t="s">
        <v>28</v>
      </c>
      <c r="M116" t="s">
        <v>39</v>
      </c>
      <c r="N116" t="s">
        <v>30</v>
      </c>
      <c r="O116" s="1">
        <v>9809.8000000000011</v>
      </c>
      <c r="P116" s="1">
        <v>6327.72</v>
      </c>
      <c r="Q116" s="1">
        <v>3482.0800000000008</v>
      </c>
      <c r="R116" t="s">
        <v>50</v>
      </c>
      <c r="S116">
        <v>2025</v>
      </c>
      <c r="T116" s="2">
        <v>0.35495932638789779</v>
      </c>
    </row>
    <row r="117" spans="1:20" x14ac:dyDescent="0.35">
      <c r="A117" t="s">
        <v>278</v>
      </c>
      <c r="B117" t="s">
        <v>123</v>
      </c>
      <c r="C117" t="s">
        <v>64</v>
      </c>
      <c r="D117" t="s">
        <v>91</v>
      </c>
      <c r="E117" t="s">
        <v>92</v>
      </c>
      <c r="F117" t="s">
        <v>36</v>
      </c>
      <c r="G117" t="s">
        <v>81</v>
      </c>
      <c r="H117" t="s">
        <v>82</v>
      </c>
      <c r="I117">
        <v>5</v>
      </c>
      <c r="J117">
        <v>121.2</v>
      </c>
      <c r="K117">
        <v>81.239999999999995</v>
      </c>
      <c r="L117" t="s">
        <v>28</v>
      </c>
      <c r="M117" t="s">
        <v>39</v>
      </c>
      <c r="N117" t="s">
        <v>40</v>
      </c>
      <c r="O117" s="1">
        <v>606</v>
      </c>
      <c r="P117" s="1">
        <v>406.2</v>
      </c>
      <c r="Q117" s="1">
        <v>199.8</v>
      </c>
      <c r="R117" t="s">
        <v>41</v>
      </c>
      <c r="S117">
        <v>2025</v>
      </c>
      <c r="T117" s="2">
        <v>0.32970297029702972</v>
      </c>
    </row>
    <row r="118" spans="1:20" x14ac:dyDescent="0.35">
      <c r="A118" t="s">
        <v>279</v>
      </c>
      <c r="B118" t="s">
        <v>85</v>
      </c>
      <c r="C118" t="s">
        <v>22</v>
      </c>
      <c r="D118" t="s">
        <v>23</v>
      </c>
      <c r="E118" t="s">
        <v>24</v>
      </c>
      <c r="F118" t="s">
        <v>95</v>
      </c>
      <c r="G118" t="s">
        <v>96</v>
      </c>
      <c r="H118" t="s">
        <v>97</v>
      </c>
      <c r="I118">
        <v>26</v>
      </c>
      <c r="J118">
        <v>284.74</v>
      </c>
      <c r="K118">
        <v>211.92</v>
      </c>
      <c r="L118" t="s">
        <v>58</v>
      </c>
      <c r="M118" t="s">
        <v>29</v>
      </c>
      <c r="N118" t="s">
        <v>30</v>
      </c>
      <c r="O118" s="1">
        <v>7403.24</v>
      </c>
      <c r="P118" s="1">
        <v>5509.92</v>
      </c>
      <c r="Q118" s="1">
        <v>1893.32</v>
      </c>
      <c r="R118" t="s">
        <v>83</v>
      </c>
      <c r="S118">
        <v>2025</v>
      </c>
      <c r="T118" s="2">
        <v>0.25574208049448621</v>
      </c>
    </row>
    <row r="119" spans="1:20" x14ac:dyDescent="0.35">
      <c r="A119" t="s">
        <v>280</v>
      </c>
      <c r="B119" t="s">
        <v>281</v>
      </c>
      <c r="C119" t="s">
        <v>64</v>
      </c>
      <c r="D119" t="s">
        <v>65</v>
      </c>
      <c r="E119" t="s">
        <v>66</v>
      </c>
      <c r="F119" t="s">
        <v>67</v>
      </c>
      <c r="G119" t="s">
        <v>68</v>
      </c>
      <c r="H119" t="s">
        <v>69</v>
      </c>
      <c r="I119">
        <v>11</v>
      </c>
      <c r="J119">
        <v>364.91</v>
      </c>
      <c r="K119">
        <v>215.51</v>
      </c>
      <c r="L119" t="s">
        <v>28</v>
      </c>
      <c r="M119" t="s">
        <v>29</v>
      </c>
      <c r="N119" t="s">
        <v>70</v>
      </c>
      <c r="O119" s="1">
        <v>4014.01</v>
      </c>
      <c r="P119" s="1">
        <v>2370.61</v>
      </c>
      <c r="Q119" s="1">
        <v>1643.400000000001</v>
      </c>
      <c r="R119" t="s">
        <v>61</v>
      </c>
      <c r="S119">
        <v>2025</v>
      </c>
      <c r="T119" s="2">
        <v>0.4094160203885891</v>
      </c>
    </row>
    <row r="120" spans="1:20" x14ac:dyDescent="0.35">
      <c r="A120" t="s">
        <v>282</v>
      </c>
      <c r="B120" t="s">
        <v>283</v>
      </c>
      <c r="C120" t="s">
        <v>44</v>
      </c>
      <c r="D120" t="s">
        <v>45</v>
      </c>
      <c r="E120" t="s">
        <v>46</v>
      </c>
      <c r="F120" t="s">
        <v>47</v>
      </c>
      <c r="G120" t="s">
        <v>53</v>
      </c>
      <c r="H120" t="s">
        <v>38</v>
      </c>
      <c r="I120">
        <v>30</v>
      </c>
      <c r="J120">
        <v>140.77000000000001</v>
      </c>
      <c r="K120">
        <v>71.959999999999994</v>
      </c>
      <c r="L120" t="s">
        <v>58</v>
      </c>
      <c r="M120" t="s">
        <v>39</v>
      </c>
      <c r="N120" t="s">
        <v>40</v>
      </c>
      <c r="O120" s="1">
        <v>4223.1000000000004</v>
      </c>
      <c r="P120" s="1">
        <v>2158.8000000000002</v>
      </c>
      <c r="Q120" s="1">
        <v>2064.3000000000011</v>
      </c>
      <c r="R120" t="s">
        <v>50</v>
      </c>
      <c r="S120">
        <v>2025</v>
      </c>
      <c r="T120" s="2">
        <v>0.48881153654898069</v>
      </c>
    </row>
    <row r="121" spans="1:20" x14ac:dyDescent="0.35">
      <c r="A121" t="s">
        <v>284</v>
      </c>
      <c r="B121" t="s">
        <v>155</v>
      </c>
      <c r="C121" t="s">
        <v>22</v>
      </c>
      <c r="D121" t="s">
        <v>23</v>
      </c>
      <c r="E121" t="s">
        <v>24</v>
      </c>
      <c r="F121" t="s">
        <v>25</v>
      </c>
      <c r="G121" t="s">
        <v>26</v>
      </c>
      <c r="H121" t="s">
        <v>27</v>
      </c>
      <c r="I121">
        <v>30</v>
      </c>
      <c r="J121">
        <v>251.9</v>
      </c>
      <c r="K121">
        <v>127.77</v>
      </c>
      <c r="L121" t="s">
        <v>28</v>
      </c>
      <c r="M121" t="s">
        <v>39</v>
      </c>
      <c r="N121" t="s">
        <v>70</v>
      </c>
      <c r="O121" s="1">
        <v>7557</v>
      </c>
      <c r="P121" s="1">
        <v>3833.1</v>
      </c>
      <c r="Q121" s="1">
        <v>3723.9</v>
      </c>
      <c r="R121" t="s">
        <v>83</v>
      </c>
      <c r="S121">
        <v>2025</v>
      </c>
      <c r="T121" s="2">
        <v>0.49277491067884083</v>
      </c>
    </row>
    <row r="122" spans="1:20" x14ac:dyDescent="0.35">
      <c r="A122" t="s">
        <v>285</v>
      </c>
      <c r="B122" t="s">
        <v>155</v>
      </c>
      <c r="C122" t="s">
        <v>73</v>
      </c>
      <c r="D122" t="s">
        <v>74</v>
      </c>
      <c r="E122" t="s">
        <v>75</v>
      </c>
      <c r="F122" t="s">
        <v>25</v>
      </c>
      <c r="G122" t="s">
        <v>56</v>
      </c>
      <c r="H122" t="s">
        <v>57</v>
      </c>
      <c r="I122">
        <v>12</v>
      </c>
      <c r="J122">
        <v>354.48</v>
      </c>
      <c r="K122">
        <v>186.49</v>
      </c>
      <c r="L122" t="s">
        <v>28</v>
      </c>
      <c r="M122" t="s">
        <v>39</v>
      </c>
      <c r="N122" t="s">
        <v>30</v>
      </c>
      <c r="O122" s="1">
        <v>4253.76</v>
      </c>
      <c r="P122" s="1">
        <v>2237.88</v>
      </c>
      <c r="Q122" s="1">
        <v>2015.88</v>
      </c>
      <c r="R122" t="s">
        <v>83</v>
      </c>
      <c r="S122">
        <v>2025</v>
      </c>
      <c r="T122" s="2">
        <v>0.47390543895283233</v>
      </c>
    </row>
    <row r="123" spans="1:20" x14ac:dyDescent="0.35">
      <c r="A123" t="s">
        <v>286</v>
      </c>
      <c r="B123" t="s">
        <v>287</v>
      </c>
      <c r="C123" t="s">
        <v>44</v>
      </c>
      <c r="D123" t="s">
        <v>45</v>
      </c>
      <c r="E123" t="s">
        <v>46</v>
      </c>
      <c r="F123" t="s">
        <v>95</v>
      </c>
      <c r="G123" t="s">
        <v>96</v>
      </c>
      <c r="H123" t="s">
        <v>97</v>
      </c>
      <c r="I123">
        <v>42</v>
      </c>
      <c r="J123">
        <v>122.47</v>
      </c>
      <c r="K123">
        <v>78.89</v>
      </c>
      <c r="L123" t="s">
        <v>28</v>
      </c>
      <c r="M123" t="s">
        <v>29</v>
      </c>
      <c r="N123" t="s">
        <v>70</v>
      </c>
      <c r="O123" s="1">
        <v>5143.74</v>
      </c>
      <c r="P123" s="1">
        <v>3313.38</v>
      </c>
      <c r="Q123" s="1">
        <v>1830.36</v>
      </c>
      <c r="R123" t="s">
        <v>83</v>
      </c>
      <c r="S123">
        <v>2025</v>
      </c>
      <c r="T123" s="2">
        <v>0.35584224708091772</v>
      </c>
    </row>
    <row r="124" spans="1:20" x14ac:dyDescent="0.35">
      <c r="A124" t="s">
        <v>288</v>
      </c>
      <c r="B124" t="s">
        <v>289</v>
      </c>
      <c r="C124" t="s">
        <v>73</v>
      </c>
      <c r="D124" t="s">
        <v>118</v>
      </c>
      <c r="E124" t="s">
        <v>119</v>
      </c>
      <c r="F124" t="s">
        <v>95</v>
      </c>
      <c r="G124" t="s">
        <v>96</v>
      </c>
      <c r="H124" t="s">
        <v>97</v>
      </c>
      <c r="I124">
        <v>15</v>
      </c>
      <c r="J124">
        <v>281.85000000000002</v>
      </c>
      <c r="K124">
        <v>197.13</v>
      </c>
      <c r="L124" t="s">
        <v>28</v>
      </c>
      <c r="M124" t="s">
        <v>39</v>
      </c>
      <c r="N124" t="s">
        <v>40</v>
      </c>
      <c r="O124" s="1">
        <v>4227.75</v>
      </c>
      <c r="P124" s="1">
        <v>2956.95</v>
      </c>
      <c r="Q124" s="1">
        <v>1270.8</v>
      </c>
      <c r="R124" t="s">
        <v>78</v>
      </c>
      <c r="S124">
        <v>2025</v>
      </c>
      <c r="T124" s="2">
        <v>0.30058541777541248</v>
      </c>
    </row>
    <row r="125" spans="1:20" x14ac:dyDescent="0.35">
      <c r="A125" t="s">
        <v>290</v>
      </c>
      <c r="B125" t="s">
        <v>177</v>
      </c>
      <c r="C125" t="s">
        <v>64</v>
      </c>
      <c r="D125" t="s">
        <v>65</v>
      </c>
      <c r="E125" t="s">
        <v>66</v>
      </c>
      <c r="F125" t="s">
        <v>25</v>
      </c>
      <c r="G125" t="s">
        <v>26</v>
      </c>
      <c r="H125" t="s">
        <v>27</v>
      </c>
      <c r="I125">
        <v>16</v>
      </c>
      <c r="J125">
        <v>325.79000000000002</v>
      </c>
      <c r="K125">
        <v>243.07</v>
      </c>
      <c r="L125" t="s">
        <v>58</v>
      </c>
      <c r="M125" t="s">
        <v>29</v>
      </c>
      <c r="N125" t="s">
        <v>70</v>
      </c>
      <c r="O125" s="1">
        <v>5212.6400000000003</v>
      </c>
      <c r="P125" s="1">
        <v>3889.12</v>
      </c>
      <c r="Q125" s="1">
        <v>1323.52</v>
      </c>
      <c r="R125" t="s">
        <v>78</v>
      </c>
      <c r="S125">
        <v>2025</v>
      </c>
      <c r="T125" s="2">
        <v>0.25390589029743088</v>
      </c>
    </row>
    <row r="126" spans="1:20" x14ac:dyDescent="0.35">
      <c r="A126" t="s">
        <v>291</v>
      </c>
      <c r="B126" t="s">
        <v>43</v>
      </c>
      <c r="C126" t="s">
        <v>73</v>
      </c>
      <c r="D126" t="s">
        <v>118</v>
      </c>
      <c r="E126" t="s">
        <v>119</v>
      </c>
      <c r="F126" t="s">
        <v>47</v>
      </c>
      <c r="G126" t="s">
        <v>48</v>
      </c>
      <c r="H126" t="s">
        <v>49</v>
      </c>
      <c r="I126">
        <v>13</v>
      </c>
      <c r="J126">
        <v>40.479999999999997</v>
      </c>
      <c r="K126">
        <v>30.18</v>
      </c>
      <c r="L126" t="s">
        <v>28</v>
      </c>
      <c r="M126" t="s">
        <v>39</v>
      </c>
      <c r="N126" t="s">
        <v>30</v>
      </c>
      <c r="O126" s="1">
        <v>526.24</v>
      </c>
      <c r="P126" s="1">
        <v>392.34</v>
      </c>
      <c r="Q126" s="1">
        <v>133.9</v>
      </c>
      <c r="R126" t="s">
        <v>50</v>
      </c>
      <c r="S126">
        <v>2025</v>
      </c>
      <c r="T126" s="2">
        <v>0.25444664031620562</v>
      </c>
    </row>
    <row r="127" spans="1:20" x14ac:dyDescent="0.35">
      <c r="A127" t="s">
        <v>292</v>
      </c>
      <c r="B127" t="s">
        <v>293</v>
      </c>
      <c r="C127" t="s">
        <v>86</v>
      </c>
      <c r="D127" t="s">
        <v>112</v>
      </c>
      <c r="E127" t="s">
        <v>113</v>
      </c>
      <c r="F127" t="s">
        <v>36</v>
      </c>
      <c r="G127" t="s">
        <v>81</v>
      </c>
      <c r="H127" t="s">
        <v>82</v>
      </c>
      <c r="I127">
        <v>45</v>
      </c>
      <c r="J127">
        <v>357.33</v>
      </c>
      <c r="K127">
        <v>270.75</v>
      </c>
      <c r="L127" t="s">
        <v>28</v>
      </c>
      <c r="M127" t="s">
        <v>29</v>
      </c>
      <c r="N127" t="s">
        <v>40</v>
      </c>
      <c r="O127" s="1">
        <v>16079.85</v>
      </c>
      <c r="P127" s="1">
        <v>12183.75</v>
      </c>
      <c r="Q127" s="1">
        <v>3896.099999999999</v>
      </c>
      <c r="R127" t="s">
        <v>61</v>
      </c>
      <c r="S127">
        <v>2025</v>
      </c>
      <c r="T127" s="2">
        <v>0.242297036352951</v>
      </c>
    </row>
    <row r="128" spans="1:20" x14ac:dyDescent="0.35">
      <c r="A128" t="s">
        <v>294</v>
      </c>
      <c r="B128" t="s">
        <v>222</v>
      </c>
      <c r="C128" t="s">
        <v>44</v>
      </c>
      <c r="D128" t="s">
        <v>45</v>
      </c>
      <c r="E128" t="s">
        <v>46</v>
      </c>
      <c r="F128" t="s">
        <v>67</v>
      </c>
      <c r="G128" t="s">
        <v>108</v>
      </c>
      <c r="H128" t="s">
        <v>109</v>
      </c>
      <c r="I128">
        <v>17</v>
      </c>
      <c r="J128">
        <v>240.95</v>
      </c>
      <c r="K128">
        <v>138.18</v>
      </c>
      <c r="L128" t="s">
        <v>58</v>
      </c>
      <c r="M128" t="s">
        <v>39</v>
      </c>
      <c r="N128" t="s">
        <v>30</v>
      </c>
      <c r="O128" s="1">
        <v>4096.1499999999996</v>
      </c>
      <c r="P128" s="1">
        <v>2349.06</v>
      </c>
      <c r="Q128" s="1">
        <v>1747.09</v>
      </c>
      <c r="R128" t="s">
        <v>78</v>
      </c>
      <c r="S128">
        <v>2025</v>
      </c>
      <c r="T128" s="2">
        <v>0.42652002490143182</v>
      </c>
    </row>
    <row r="129" spans="1:20" x14ac:dyDescent="0.35">
      <c r="A129" t="s">
        <v>295</v>
      </c>
      <c r="B129" t="s">
        <v>296</v>
      </c>
      <c r="C129" t="s">
        <v>64</v>
      </c>
      <c r="D129" t="s">
        <v>65</v>
      </c>
      <c r="E129" t="s">
        <v>66</v>
      </c>
      <c r="F129" t="s">
        <v>67</v>
      </c>
      <c r="G129" t="s">
        <v>68</v>
      </c>
      <c r="H129" t="s">
        <v>69</v>
      </c>
      <c r="I129">
        <v>29</v>
      </c>
      <c r="J129">
        <v>281.08</v>
      </c>
      <c r="K129">
        <v>196.63</v>
      </c>
      <c r="L129" t="s">
        <v>58</v>
      </c>
      <c r="M129" t="s">
        <v>39</v>
      </c>
      <c r="N129" t="s">
        <v>40</v>
      </c>
      <c r="O129" s="1">
        <v>8151.32</v>
      </c>
      <c r="P129" s="1">
        <v>5702.27</v>
      </c>
      <c r="Q129" s="1">
        <v>2449.0500000000002</v>
      </c>
      <c r="R129" t="s">
        <v>83</v>
      </c>
      <c r="S129">
        <v>2025</v>
      </c>
      <c r="T129" s="2">
        <v>0.3004482709548883</v>
      </c>
    </row>
    <row r="130" spans="1:20" x14ac:dyDescent="0.35">
      <c r="A130" t="s">
        <v>297</v>
      </c>
      <c r="B130" t="s">
        <v>298</v>
      </c>
      <c r="C130" t="s">
        <v>64</v>
      </c>
      <c r="D130" t="s">
        <v>65</v>
      </c>
      <c r="E130" t="s">
        <v>66</v>
      </c>
      <c r="F130" t="s">
        <v>95</v>
      </c>
      <c r="G130" t="s">
        <v>96</v>
      </c>
      <c r="H130" t="s">
        <v>97</v>
      </c>
      <c r="I130">
        <v>16</v>
      </c>
      <c r="J130">
        <v>367.5</v>
      </c>
      <c r="K130">
        <v>233.38</v>
      </c>
      <c r="L130" t="s">
        <v>28</v>
      </c>
      <c r="M130" t="s">
        <v>39</v>
      </c>
      <c r="N130" t="s">
        <v>70</v>
      </c>
      <c r="O130" s="1">
        <v>5880</v>
      </c>
      <c r="P130" s="1">
        <v>3734.08</v>
      </c>
      <c r="Q130" s="1">
        <v>2145.92</v>
      </c>
      <c r="R130" t="s">
        <v>83</v>
      </c>
      <c r="S130">
        <v>2025</v>
      </c>
      <c r="T130" s="2">
        <v>0.36495238095238097</v>
      </c>
    </row>
    <row r="131" spans="1:20" x14ac:dyDescent="0.35">
      <c r="A131" t="s">
        <v>299</v>
      </c>
      <c r="B131" t="s">
        <v>153</v>
      </c>
      <c r="C131" t="s">
        <v>64</v>
      </c>
      <c r="D131" t="s">
        <v>91</v>
      </c>
      <c r="E131" t="s">
        <v>92</v>
      </c>
      <c r="F131" t="s">
        <v>25</v>
      </c>
      <c r="G131" t="s">
        <v>56</v>
      </c>
      <c r="H131" t="s">
        <v>57</v>
      </c>
      <c r="I131">
        <v>37</v>
      </c>
      <c r="J131">
        <v>344.25</v>
      </c>
      <c r="K131">
        <v>220.39</v>
      </c>
      <c r="L131" t="s">
        <v>28</v>
      </c>
      <c r="M131" t="s">
        <v>39</v>
      </c>
      <c r="N131" t="s">
        <v>40</v>
      </c>
      <c r="O131" s="1">
        <v>12737.25</v>
      </c>
      <c r="P131" s="1">
        <v>8154.4299999999994</v>
      </c>
      <c r="Q131" s="1">
        <v>4582.8200000000006</v>
      </c>
      <c r="R131" t="s">
        <v>50</v>
      </c>
      <c r="S131">
        <v>2025</v>
      </c>
      <c r="T131" s="2">
        <v>0.35979665940450262</v>
      </c>
    </row>
    <row r="132" spans="1:20" x14ac:dyDescent="0.35">
      <c r="A132" t="s">
        <v>300</v>
      </c>
      <c r="B132" t="s">
        <v>301</v>
      </c>
      <c r="C132" t="s">
        <v>73</v>
      </c>
      <c r="D132" t="s">
        <v>118</v>
      </c>
      <c r="E132" t="s">
        <v>119</v>
      </c>
      <c r="F132" t="s">
        <v>36</v>
      </c>
      <c r="G132" t="s">
        <v>37</v>
      </c>
      <c r="H132" t="s">
        <v>38</v>
      </c>
      <c r="I132">
        <v>37</v>
      </c>
      <c r="J132">
        <v>308.25</v>
      </c>
      <c r="K132">
        <v>200.44</v>
      </c>
      <c r="L132" t="s">
        <v>28</v>
      </c>
      <c r="M132" t="s">
        <v>39</v>
      </c>
      <c r="N132" t="s">
        <v>30</v>
      </c>
      <c r="O132" s="1">
        <v>11405.25</v>
      </c>
      <c r="P132" s="1">
        <v>7416.28</v>
      </c>
      <c r="Q132" s="1">
        <v>3988.97</v>
      </c>
      <c r="R132" t="s">
        <v>50</v>
      </c>
      <c r="S132">
        <v>2025</v>
      </c>
      <c r="T132" s="2">
        <v>0.34974858069748582</v>
      </c>
    </row>
    <row r="133" spans="1:20" x14ac:dyDescent="0.35">
      <c r="A133" t="s">
        <v>302</v>
      </c>
      <c r="B133" t="s">
        <v>281</v>
      </c>
      <c r="C133" t="s">
        <v>44</v>
      </c>
      <c r="D133" t="s">
        <v>45</v>
      </c>
      <c r="E133" t="s">
        <v>46</v>
      </c>
      <c r="F133" t="s">
        <v>67</v>
      </c>
      <c r="G133" t="s">
        <v>68</v>
      </c>
      <c r="H133" t="s">
        <v>69</v>
      </c>
      <c r="I133">
        <v>26</v>
      </c>
      <c r="J133">
        <v>150.43</v>
      </c>
      <c r="K133">
        <v>104.82</v>
      </c>
      <c r="L133" t="s">
        <v>28</v>
      </c>
      <c r="M133" t="s">
        <v>39</v>
      </c>
      <c r="N133" t="s">
        <v>40</v>
      </c>
      <c r="O133" s="1">
        <v>3911.18</v>
      </c>
      <c r="P133" s="1">
        <v>2725.32</v>
      </c>
      <c r="Q133" s="1">
        <v>1185.860000000001</v>
      </c>
      <c r="R133" t="s">
        <v>61</v>
      </c>
      <c r="S133">
        <v>2025</v>
      </c>
      <c r="T133" s="2">
        <v>0.30319750049857092</v>
      </c>
    </row>
    <row r="134" spans="1:20" x14ac:dyDescent="0.35">
      <c r="A134" t="s">
        <v>303</v>
      </c>
      <c r="B134" t="s">
        <v>304</v>
      </c>
      <c r="C134" t="s">
        <v>44</v>
      </c>
      <c r="D134" t="s">
        <v>45</v>
      </c>
      <c r="E134" t="s">
        <v>46</v>
      </c>
      <c r="F134" t="s">
        <v>67</v>
      </c>
      <c r="G134" t="s">
        <v>68</v>
      </c>
      <c r="H134" t="s">
        <v>69</v>
      </c>
      <c r="I134">
        <v>10</v>
      </c>
      <c r="J134">
        <v>69.81</v>
      </c>
      <c r="K134">
        <v>38.51</v>
      </c>
      <c r="L134" t="s">
        <v>58</v>
      </c>
      <c r="M134" t="s">
        <v>29</v>
      </c>
      <c r="N134" t="s">
        <v>70</v>
      </c>
      <c r="O134" s="1">
        <v>698.1</v>
      </c>
      <c r="P134" s="1">
        <v>385.1</v>
      </c>
      <c r="Q134" s="1">
        <v>313.00000000000011</v>
      </c>
      <c r="R134" t="s">
        <v>83</v>
      </c>
      <c r="S134">
        <v>2025</v>
      </c>
      <c r="T134" s="2">
        <v>0.44835983383469419</v>
      </c>
    </row>
    <row r="135" spans="1:20" x14ac:dyDescent="0.35">
      <c r="A135" t="s">
        <v>305</v>
      </c>
      <c r="B135" t="s">
        <v>258</v>
      </c>
      <c r="C135" t="s">
        <v>22</v>
      </c>
      <c r="D135" t="s">
        <v>23</v>
      </c>
      <c r="E135" t="s">
        <v>24</v>
      </c>
      <c r="F135" t="s">
        <v>47</v>
      </c>
      <c r="G135" t="s">
        <v>48</v>
      </c>
      <c r="H135" t="s">
        <v>49</v>
      </c>
      <c r="I135">
        <v>37</v>
      </c>
      <c r="J135">
        <v>352.48</v>
      </c>
      <c r="K135">
        <v>274.41000000000003</v>
      </c>
      <c r="L135" t="s">
        <v>58</v>
      </c>
      <c r="M135" t="s">
        <v>29</v>
      </c>
      <c r="N135" t="s">
        <v>30</v>
      </c>
      <c r="O135" s="1">
        <v>13041.76</v>
      </c>
      <c r="P135" s="1">
        <v>10153.17</v>
      </c>
      <c r="Q135" s="1">
        <v>2888.59</v>
      </c>
      <c r="R135" t="s">
        <v>41</v>
      </c>
      <c r="S135">
        <v>2025</v>
      </c>
      <c r="T135" s="2">
        <v>0.22148774398547441</v>
      </c>
    </row>
    <row r="136" spans="1:20" x14ac:dyDescent="0.35">
      <c r="A136" t="s">
        <v>306</v>
      </c>
      <c r="B136" t="s">
        <v>307</v>
      </c>
      <c r="C136" t="s">
        <v>64</v>
      </c>
      <c r="D136" t="s">
        <v>65</v>
      </c>
      <c r="E136" t="s">
        <v>66</v>
      </c>
      <c r="F136" t="s">
        <v>47</v>
      </c>
      <c r="G136" t="s">
        <v>48</v>
      </c>
      <c r="H136" t="s">
        <v>49</v>
      </c>
      <c r="I136">
        <v>48</v>
      </c>
      <c r="J136">
        <v>116.3</v>
      </c>
      <c r="K136">
        <v>80.08</v>
      </c>
      <c r="L136" t="s">
        <v>28</v>
      </c>
      <c r="M136" t="s">
        <v>29</v>
      </c>
      <c r="N136" t="s">
        <v>30</v>
      </c>
      <c r="O136" s="1">
        <v>5582.4</v>
      </c>
      <c r="P136" s="1">
        <v>3843.84</v>
      </c>
      <c r="Q136" s="1">
        <v>1738.559999999999</v>
      </c>
      <c r="R136" t="s">
        <v>41</v>
      </c>
      <c r="S136">
        <v>2025</v>
      </c>
      <c r="T136" s="2">
        <v>0.31143594153052451</v>
      </c>
    </row>
    <row r="137" spans="1:20" x14ac:dyDescent="0.35">
      <c r="A137" t="s">
        <v>308</v>
      </c>
      <c r="B137" t="s">
        <v>169</v>
      </c>
      <c r="C137" t="s">
        <v>73</v>
      </c>
      <c r="D137" t="s">
        <v>74</v>
      </c>
      <c r="E137" t="s">
        <v>75</v>
      </c>
      <c r="F137" t="s">
        <v>36</v>
      </c>
      <c r="G137" t="s">
        <v>81</v>
      </c>
      <c r="H137" t="s">
        <v>82</v>
      </c>
      <c r="I137">
        <v>12</v>
      </c>
      <c r="J137">
        <v>34.06</v>
      </c>
      <c r="K137">
        <v>26.6</v>
      </c>
      <c r="L137" t="s">
        <v>58</v>
      </c>
      <c r="M137" t="s">
        <v>29</v>
      </c>
      <c r="N137" t="s">
        <v>40</v>
      </c>
      <c r="O137" s="1">
        <v>408.72</v>
      </c>
      <c r="P137" s="1">
        <v>319.2</v>
      </c>
      <c r="Q137" s="1">
        <v>89.519999999999982</v>
      </c>
      <c r="R137" t="s">
        <v>61</v>
      </c>
      <c r="S137">
        <v>2025</v>
      </c>
      <c r="T137" s="2">
        <v>0.21902524955960059</v>
      </c>
    </row>
    <row r="138" spans="1:20" x14ac:dyDescent="0.35">
      <c r="A138" t="s">
        <v>309</v>
      </c>
      <c r="B138" t="s">
        <v>310</v>
      </c>
      <c r="C138" t="s">
        <v>44</v>
      </c>
      <c r="D138" t="s">
        <v>45</v>
      </c>
      <c r="E138" t="s">
        <v>46</v>
      </c>
      <c r="F138" t="s">
        <v>47</v>
      </c>
      <c r="G138" t="s">
        <v>48</v>
      </c>
      <c r="H138" t="s">
        <v>49</v>
      </c>
      <c r="I138">
        <v>12</v>
      </c>
      <c r="J138">
        <v>172.06</v>
      </c>
      <c r="K138">
        <v>110.98</v>
      </c>
      <c r="L138" t="s">
        <v>58</v>
      </c>
      <c r="M138" t="s">
        <v>39</v>
      </c>
      <c r="N138" t="s">
        <v>30</v>
      </c>
      <c r="O138" s="1">
        <v>2064.7199999999998</v>
      </c>
      <c r="P138" s="1">
        <v>1331.76</v>
      </c>
      <c r="Q138" s="1">
        <v>732.96000000000026</v>
      </c>
      <c r="R138" t="s">
        <v>78</v>
      </c>
      <c r="S138">
        <v>2025</v>
      </c>
      <c r="T138" s="2">
        <v>0.35499244449610612</v>
      </c>
    </row>
    <row r="139" spans="1:20" x14ac:dyDescent="0.35">
      <c r="A139" t="s">
        <v>311</v>
      </c>
      <c r="B139" t="s">
        <v>312</v>
      </c>
      <c r="C139" t="s">
        <v>44</v>
      </c>
      <c r="D139" t="s">
        <v>45</v>
      </c>
      <c r="E139" t="s">
        <v>46</v>
      </c>
      <c r="F139" t="s">
        <v>95</v>
      </c>
      <c r="G139" t="s">
        <v>96</v>
      </c>
      <c r="H139" t="s">
        <v>97</v>
      </c>
      <c r="I139">
        <v>16</v>
      </c>
      <c r="J139">
        <v>328.4</v>
      </c>
      <c r="K139">
        <v>187.12</v>
      </c>
      <c r="L139" t="s">
        <v>28</v>
      </c>
      <c r="M139" t="s">
        <v>39</v>
      </c>
      <c r="N139" t="s">
        <v>30</v>
      </c>
      <c r="O139" s="1">
        <v>5254.4</v>
      </c>
      <c r="P139" s="1">
        <v>2993.92</v>
      </c>
      <c r="Q139" s="1">
        <v>2260.48</v>
      </c>
      <c r="R139" t="s">
        <v>78</v>
      </c>
      <c r="S139">
        <v>2025</v>
      </c>
      <c r="T139" s="2">
        <v>0.43020706455542018</v>
      </c>
    </row>
    <row r="140" spans="1:20" x14ac:dyDescent="0.35">
      <c r="A140" t="s">
        <v>313</v>
      </c>
      <c r="B140" t="s">
        <v>157</v>
      </c>
      <c r="C140" t="s">
        <v>86</v>
      </c>
      <c r="D140" t="s">
        <v>87</v>
      </c>
      <c r="E140" t="s">
        <v>88</v>
      </c>
      <c r="F140" t="s">
        <v>67</v>
      </c>
      <c r="G140" t="s">
        <v>68</v>
      </c>
      <c r="H140" t="s">
        <v>69</v>
      </c>
      <c r="I140">
        <v>21</v>
      </c>
      <c r="J140">
        <v>277.60000000000002</v>
      </c>
      <c r="K140">
        <v>210.94</v>
      </c>
      <c r="L140" t="s">
        <v>58</v>
      </c>
      <c r="M140" t="s">
        <v>39</v>
      </c>
      <c r="N140" t="s">
        <v>40</v>
      </c>
      <c r="O140" s="1">
        <v>5829.6</v>
      </c>
      <c r="P140" s="1">
        <v>4429.74</v>
      </c>
      <c r="Q140" s="1">
        <v>1399.860000000001</v>
      </c>
      <c r="R140" t="s">
        <v>61</v>
      </c>
      <c r="S140">
        <v>2025</v>
      </c>
      <c r="T140" s="2">
        <v>0.2401296829971182</v>
      </c>
    </row>
    <row r="141" spans="1:20" x14ac:dyDescent="0.35">
      <c r="A141" t="s">
        <v>314</v>
      </c>
      <c r="B141" t="s">
        <v>296</v>
      </c>
      <c r="C141" t="s">
        <v>73</v>
      </c>
      <c r="D141" t="s">
        <v>118</v>
      </c>
      <c r="E141" t="s">
        <v>119</v>
      </c>
      <c r="F141" t="s">
        <v>47</v>
      </c>
      <c r="G141" t="s">
        <v>53</v>
      </c>
      <c r="H141" t="s">
        <v>38</v>
      </c>
      <c r="I141">
        <v>39</v>
      </c>
      <c r="J141">
        <v>107.61</v>
      </c>
      <c r="K141">
        <v>62.06</v>
      </c>
      <c r="L141" t="s">
        <v>28</v>
      </c>
      <c r="M141" t="s">
        <v>39</v>
      </c>
      <c r="N141" t="s">
        <v>70</v>
      </c>
      <c r="O141" s="1">
        <v>4196.79</v>
      </c>
      <c r="P141" s="1">
        <v>2420.34</v>
      </c>
      <c r="Q141" s="1">
        <v>1776.45</v>
      </c>
      <c r="R141" t="s">
        <v>83</v>
      </c>
      <c r="S141">
        <v>2025</v>
      </c>
      <c r="T141" s="2">
        <v>0.42328779853173493</v>
      </c>
    </row>
    <row r="142" spans="1:20" x14ac:dyDescent="0.35">
      <c r="A142" t="s">
        <v>315</v>
      </c>
      <c r="B142" t="s">
        <v>316</v>
      </c>
      <c r="C142" t="s">
        <v>86</v>
      </c>
      <c r="D142" t="s">
        <v>87</v>
      </c>
      <c r="E142" t="s">
        <v>88</v>
      </c>
      <c r="F142" t="s">
        <v>47</v>
      </c>
      <c r="G142" t="s">
        <v>48</v>
      </c>
      <c r="H142" t="s">
        <v>49</v>
      </c>
      <c r="I142">
        <v>38</v>
      </c>
      <c r="J142">
        <v>297.77</v>
      </c>
      <c r="K142">
        <v>180.78</v>
      </c>
      <c r="L142" t="s">
        <v>58</v>
      </c>
      <c r="M142" t="s">
        <v>29</v>
      </c>
      <c r="N142" t="s">
        <v>70</v>
      </c>
      <c r="O142" s="1">
        <v>11315.26</v>
      </c>
      <c r="P142" s="1">
        <v>6869.64</v>
      </c>
      <c r="Q142" s="1">
        <v>4445.6199999999981</v>
      </c>
      <c r="R142" t="s">
        <v>83</v>
      </c>
      <c r="S142">
        <v>2025</v>
      </c>
      <c r="T142" s="2">
        <v>0.39288712764885642</v>
      </c>
    </row>
    <row r="143" spans="1:20" x14ac:dyDescent="0.35">
      <c r="A143" t="s">
        <v>317</v>
      </c>
      <c r="B143" t="s">
        <v>318</v>
      </c>
      <c r="C143" t="s">
        <v>44</v>
      </c>
      <c r="D143" t="s">
        <v>45</v>
      </c>
      <c r="E143" t="s">
        <v>46</v>
      </c>
      <c r="F143" t="s">
        <v>47</v>
      </c>
      <c r="G143" t="s">
        <v>53</v>
      </c>
      <c r="H143" t="s">
        <v>38</v>
      </c>
      <c r="I143">
        <v>25</v>
      </c>
      <c r="J143">
        <v>182.37</v>
      </c>
      <c r="K143">
        <v>113.12</v>
      </c>
      <c r="L143" t="s">
        <v>28</v>
      </c>
      <c r="M143" t="s">
        <v>39</v>
      </c>
      <c r="N143" t="s">
        <v>40</v>
      </c>
      <c r="O143" s="1">
        <v>4559.25</v>
      </c>
      <c r="P143" s="1">
        <v>2828</v>
      </c>
      <c r="Q143" s="1">
        <v>1731.25</v>
      </c>
      <c r="R143" t="s">
        <v>78</v>
      </c>
      <c r="S143">
        <v>2025</v>
      </c>
      <c r="T143" s="2">
        <v>0.37972254208477269</v>
      </c>
    </row>
    <row r="144" spans="1:20" x14ac:dyDescent="0.35">
      <c r="A144" t="s">
        <v>319</v>
      </c>
      <c r="B144" t="s">
        <v>33</v>
      </c>
      <c r="C144" t="s">
        <v>73</v>
      </c>
      <c r="D144" t="s">
        <v>118</v>
      </c>
      <c r="E144" t="s">
        <v>119</v>
      </c>
      <c r="F144" t="s">
        <v>25</v>
      </c>
      <c r="G144" t="s">
        <v>56</v>
      </c>
      <c r="H144" t="s">
        <v>57</v>
      </c>
      <c r="I144">
        <v>41</v>
      </c>
      <c r="J144">
        <v>202.49</v>
      </c>
      <c r="K144">
        <v>106.12</v>
      </c>
      <c r="L144" t="s">
        <v>58</v>
      </c>
      <c r="M144" t="s">
        <v>39</v>
      </c>
      <c r="N144" t="s">
        <v>30</v>
      </c>
      <c r="O144" s="1">
        <v>8302.09</v>
      </c>
      <c r="P144" s="1">
        <v>4350.92</v>
      </c>
      <c r="Q144" s="1">
        <v>3951.17</v>
      </c>
      <c r="R144" t="s">
        <v>41</v>
      </c>
      <c r="S144">
        <v>2025</v>
      </c>
      <c r="T144" s="2">
        <v>0.47592473702405058</v>
      </c>
    </row>
    <row r="145" spans="1:20" x14ac:dyDescent="0.35">
      <c r="A145" t="s">
        <v>320</v>
      </c>
      <c r="B145" t="s">
        <v>321</v>
      </c>
      <c r="C145" t="s">
        <v>73</v>
      </c>
      <c r="D145" t="s">
        <v>74</v>
      </c>
      <c r="E145" t="s">
        <v>75</v>
      </c>
      <c r="F145" t="s">
        <v>25</v>
      </c>
      <c r="G145" t="s">
        <v>26</v>
      </c>
      <c r="H145" t="s">
        <v>27</v>
      </c>
      <c r="I145">
        <v>16</v>
      </c>
      <c r="J145">
        <v>64.37</v>
      </c>
      <c r="K145">
        <v>47.58</v>
      </c>
      <c r="L145" t="s">
        <v>28</v>
      </c>
      <c r="M145" t="s">
        <v>29</v>
      </c>
      <c r="N145" t="s">
        <v>40</v>
      </c>
      <c r="O145" s="1">
        <v>1029.92</v>
      </c>
      <c r="P145" s="1">
        <v>761.28</v>
      </c>
      <c r="Q145" s="1">
        <v>268.6400000000001</v>
      </c>
      <c r="R145" t="s">
        <v>50</v>
      </c>
      <c r="S145">
        <v>2025</v>
      </c>
      <c r="T145" s="2">
        <v>0.26083579307130661</v>
      </c>
    </row>
    <row r="146" spans="1:20" x14ac:dyDescent="0.35">
      <c r="A146" t="s">
        <v>322</v>
      </c>
      <c r="B146" t="s">
        <v>182</v>
      </c>
      <c r="C146" t="s">
        <v>64</v>
      </c>
      <c r="D146" t="s">
        <v>91</v>
      </c>
      <c r="E146" t="s">
        <v>92</v>
      </c>
      <c r="F146" t="s">
        <v>25</v>
      </c>
      <c r="G146" t="s">
        <v>26</v>
      </c>
      <c r="H146" t="s">
        <v>27</v>
      </c>
      <c r="I146">
        <v>10</v>
      </c>
      <c r="J146">
        <v>353.04</v>
      </c>
      <c r="K146">
        <v>216.59</v>
      </c>
      <c r="L146" t="s">
        <v>58</v>
      </c>
      <c r="M146" t="s">
        <v>29</v>
      </c>
      <c r="N146" t="s">
        <v>30</v>
      </c>
      <c r="O146" s="1">
        <v>3530.4</v>
      </c>
      <c r="P146" s="1">
        <v>2165.9</v>
      </c>
      <c r="Q146" s="1">
        <v>1364.5</v>
      </c>
      <c r="R146" t="s">
        <v>31</v>
      </c>
      <c r="S146">
        <v>2025</v>
      </c>
      <c r="T146" s="2">
        <v>0.38650011330160888</v>
      </c>
    </row>
    <row r="147" spans="1:20" x14ac:dyDescent="0.35">
      <c r="A147" t="s">
        <v>323</v>
      </c>
      <c r="B147" t="s">
        <v>147</v>
      </c>
      <c r="C147" t="s">
        <v>86</v>
      </c>
      <c r="D147" t="s">
        <v>87</v>
      </c>
      <c r="E147" t="s">
        <v>88</v>
      </c>
      <c r="F147" t="s">
        <v>47</v>
      </c>
      <c r="G147" t="s">
        <v>48</v>
      </c>
      <c r="H147" t="s">
        <v>49</v>
      </c>
      <c r="I147">
        <v>49</v>
      </c>
      <c r="J147">
        <v>272.61</v>
      </c>
      <c r="K147">
        <v>208.6</v>
      </c>
      <c r="L147" t="s">
        <v>28</v>
      </c>
      <c r="M147" t="s">
        <v>29</v>
      </c>
      <c r="N147" t="s">
        <v>70</v>
      </c>
      <c r="O147" s="1">
        <v>13357.89</v>
      </c>
      <c r="P147" s="1">
        <v>10221.4</v>
      </c>
      <c r="Q147" s="1">
        <v>3136.4900000000021</v>
      </c>
      <c r="R147" t="s">
        <v>41</v>
      </c>
      <c r="S147">
        <v>2025</v>
      </c>
      <c r="T147" s="2">
        <v>0.2348042991819817</v>
      </c>
    </row>
    <row r="148" spans="1:20" x14ac:dyDescent="0.35">
      <c r="A148" t="s">
        <v>324</v>
      </c>
      <c r="B148" t="s">
        <v>325</v>
      </c>
      <c r="C148" t="s">
        <v>22</v>
      </c>
      <c r="D148" t="s">
        <v>23</v>
      </c>
      <c r="E148" t="s">
        <v>24</v>
      </c>
      <c r="F148" t="s">
        <v>47</v>
      </c>
      <c r="G148" t="s">
        <v>48</v>
      </c>
      <c r="H148" t="s">
        <v>49</v>
      </c>
      <c r="I148">
        <v>18</v>
      </c>
      <c r="J148">
        <v>397.5</v>
      </c>
      <c r="K148">
        <v>240.24</v>
      </c>
      <c r="L148" t="s">
        <v>28</v>
      </c>
      <c r="M148" t="s">
        <v>39</v>
      </c>
      <c r="N148" t="s">
        <v>30</v>
      </c>
      <c r="O148" s="1">
        <v>7155</v>
      </c>
      <c r="P148" s="1">
        <v>4324.32</v>
      </c>
      <c r="Q148" s="1">
        <v>2830.68</v>
      </c>
      <c r="R148" t="s">
        <v>83</v>
      </c>
      <c r="S148">
        <v>2025</v>
      </c>
      <c r="T148" s="2">
        <v>0.39562264150943399</v>
      </c>
    </row>
    <row r="149" spans="1:20" x14ac:dyDescent="0.35">
      <c r="A149" t="s">
        <v>326</v>
      </c>
      <c r="B149" t="s">
        <v>182</v>
      </c>
      <c r="C149" t="s">
        <v>73</v>
      </c>
      <c r="D149" t="s">
        <v>118</v>
      </c>
      <c r="E149" t="s">
        <v>119</v>
      </c>
      <c r="F149" t="s">
        <v>95</v>
      </c>
      <c r="G149" t="s">
        <v>96</v>
      </c>
      <c r="H149" t="s">
        <v>97</v>
      </c>
      <c r="I149">
        <v>23</v>
      </c>
      <c r="J149">
        <v>170.39</v>
      </c>
      <c r="K149">
        <v>99.16</v>
      </c>
      <c r="L149" t="s">
        <v>28</v>
      </c>
      <c r="M149" t="s">
        <v>29</v>
      </c>
      <c r="N149" t="s">
        <v>70</v>
      </c>
      <c r="O149" s="1">
        <v>3918.97</v>
      </c>
      <c r="P149" s="1">
        <v>2280.6799999999998</v>
      </c>
      <c r="Q149" s="1">
        <v>1638.29</v>
      </c>
      <c r="R149" t="s">
        <v>31</v>
      </c>
      <c r="S149">
        <v>2025</v>
      </c>
      <c r="T149" s="2">
        <v>0.4180409648453548</v>
      </c>
    </row>
    <row r="150" spans="1:20" x14ac:dyDescent="0.35">
      <c r="A150" t="s">
        <v>327</v>
      </c>
      <c r="B150" t="s">
        <v>43</v>
      </c>
      <c r="C150" t="s">
        <v>44</v>
      </c>
      <c r="D150" t="s">
        <v>45</v>
      </c>
      <c r="E150" t="s">
        <v>46</v>
      </c>
      <c r="F150" t="s">
        <v>67</v>
      </c>
      <c r="G150" t="s">
        <v>68</v>
      </c>
      <c r="H150" t="s">
        <v>69</v>
      </c>
      <c r="I150">
        <v>13</v>
      </c>
      <c r="J150">
        <v>216.17</v>
      </c>
      <c r="K150">
        <v>114.68</v>
      </c>
      <c r="L150" t="s">
        <v>58</v>
      </c>
      <c r="M150" t="s">
        <v>39</v>
      </c>
      <c r="N150" t="s">
        <v>40</v>
      </c>
      <c r="O150" s="1">
        <v>2810.21</v>
      </c>
      <c r="P150" s="1">
        <v>1490.84</v>
      </c>
      <c r="Q150" s="1">
        <v>1319.37</v>
      </c>
      <c r="R150" t="s">
        <v>50</v>
      </c>
      <c r="S150">
        <v>2025</v>
      </c>
      <c r="T150" s="2">
        <v>0.46949160383031868</v>
      </c>
    </row>
    <row r="151" spans="1:20" x14ac:dyDescent="0.35">
      <c r="A151" t="s">
        <v>328</v>
      </c>
      <c r="B151" t="s">
        <v>147</v>
      </c>
      <c r="C151" t="s">
        <v>64</v>
      </c>
      <c r="D151" t="s">
        <v>65</v>
      </c>
      <c r="E151" t="s">
        <v>66</v>
      </c>
      <c r="F151" t="s">
        <v>36</v>
      </c>
      <c r="G151" t="s">
        <v>37</v>
      </c>
      <c r="H151" t="s">
        <v>38</v>
      </c>
      <c r="I151">
        <v>43</v>
      </c>
      <c r="J151">
        <v>77.7</v>
      </c>
      <c r="K151">
        <v>40.31</v>
      </c>
      <c r="L151" t="s">
        <v>28</v>
      </c>
      <c r="M151" t="s">
        <v>39</v>
      </c>
      <c r="N151" t="s">
        <v>40</v>
      </c>
      <c r="O151" s="1">
        <v>3341.1</v>
      </c>
      <c r="P151" s="1">
        <v>1733.33</v>
      </c>
      <c r="Q151" s="1">
        <v>1607.77</v>
      </c>
      <c r="R151" t="s">
        <v>41</v>
      </c>
      <c r="S151">
        <v>2025</v>
      </c>
      <c r="T151" s="2">
        <v>0.48120978120978108</v>
      </c>
    </row>
    <row r="152" spans="1:20" x14ac:dyDescent="0.35">
      <c r="A152" t="s">
        <v>329</v>
      </c>
      <c r="B152" t="s">
        <v>264</v>
      </c>
      <c r="C152" t="s">
        <v>73</v>
      </c>
      <c r="D152" t="s">
        <v>74</v>
      </c>
      <c r="E152" t="s">
        <v>75</v>
      </c>
      <c r="F152" t="s">
        <v>95</v>
      </c>
      <c r="G152" t="s">
        <v>96</v>
      </c>
      <c r="H152" t="s">
        <v>97</v>
      </c>
      <c r="I152">
        <v>36</v>
      </c>
      <c r="J152">
        <v>300.37</v>
      </c>
      <c r="K152">
        <v>226.31</v>
      </c>
      <c r="L152" t="s">
        <v>28</v>
      </c>
      <c r="M152" t="s">
        <v>39</v>
      </c>
      <c r="N152" t="s">
        <v>30</v>
      </c>
      <c r="O152" s="1">
        <v>10813.32</v>
      </c>
      <c r="P152" s="1">
        <v>8147.16</v>
      </c>
      <c r="Q152" s="1">
        <v>2666.16</v>
      </c>
      <c r="R152" t="s">
        <v>61</v>
      </c>
      <c r="S152">
        <v>2025</v>
      </c>
      <c r="T152" s="2">
        <v>0.2465625728268469</v>
      </c>
    </row>
    <row r="153" spans="1:20" x14ac:dyDescent="0.35">
      <c r="A153" t="s">
        <v>330</v>
      </c>
      <c r="B153" t="s">
        <v>195</v>
      </c>
      <c r="C153" t="s">
        <v>44</v>
      </c>
      <c r="D153" t="s">
        <v>45</v>
      </c>
      <c r="E153" t="s">
        <v>46</v>
      </c>
      <c r="F153" t="s">
        <v>67</v>
      </c>
      <c r="G153" t="s">
        <v>68</v>
      </c>
      <c r="H153" t="s">
        <v>69</v>
      </c>
      <c r="I153">
        <v>22</v>
      </c>
      <c r="J153">
        <v>181.33</v>
      </c>
      <c r="K153">
        <v>140.87</v>
      </c>
      <c r="L153" t="s">
        <v>28</v>
      </c>
      <c r="M153" t="s">
        <v>39</v>
      </c>
      <c r="N153" t="s">
        <v>40</v>
      </c>
      <c r="O153" s="1">
        <v>3989.26</v>
      </c>
      <c r="P153" s="1">
        <v>3099.14</v>
      </c>
      <c r="Q153" s="1">
        <v>890.11999999999989</v>
      </c>
      <c r="R153" t="s">
        <v>50</v>
      </c>
      <c r="S153">
        <v>2025</v>
      </c>
      <c r="T153" s="2">
        <v>0.2231291016378977</v>
      </c>
    </row>
    <row r="154" spans="1:20" x14ac:dyDescent="0.35">
      <c r="A154" t="s">
        <v>331</v>
      </c>
      <c r="B154" t="s">
        <v>258</v>
      </c>
      <c r="C154" t="s">
        <v>22</v>
      </c>
      <c r="D154" t="s">
        <v>34</v>
      </c>
      <c r="E154" t="s">
        <v>35</v>
      </c>
      <c r="F154" t="s">
        <v>67</v>
      </c>
      <c r="G154" t="s">
        <v>108</v>
      </c>
      <c r="H154" t="s">
        <v>109</v>
      </c>
      <c r="I154">
        <v>31</v>
      </c>
      <c r="J154">
        <v>108.25</v>
      </c>
      <c r="K154">
        <v>71.62</v>
      </c>
      <c r="L154" t="s">
        <v>28</v>
      </c>
      <c r="M154" t="s">
        <v>29</v>
      </c>
      <c r="N154" t="s">
        <v>40</v>
      </c>
      <c r="O154" s="1">
        <v>3355.75</v>
      </c>
      <c r="P154" s="1">
        <v>2220.2199999999998</v>
      </c>
      <c r="Q154" s="1">
        <v>1135.53</v>
      </c>
      <c r="R154" t="s">
        <v>41</v>
      </c>
      <c r="S154">
        <v>2025</v>
      </c>
      <c r="T154" s="2">
        <v>0.33838337182448031</v>
      </c>
    </row>
    <row r="155" spans="1:20" x14ac:dyDescent="0.35">
      <c r="A155" t="s">
        <v>332</v>
      </c>
      <c r="B155" t="s">
        <v>200</v>
      </c>
      <c r="C155" t="s">
        <v>44</v>
      </c>
      <c r="D155" t="s">
        <v>45</v>
      </c>
      <c r="E155" t="s">
        <v>46</v>
      </c>
      <c r="F155" t="s">
        <v>25</v>
      </c>
      <c r="G155" t="s">
        <v>26</v>
      </c>
      <c r="H155" t="s">
        <v>27</v>
      </c>
      <c r="I155">
        <v>38</v>
      </c>
      <c r="J155">
        <v>52.58</v>
      </c>
      <c r="K155">
        <v>27.29</v>
      </c>
      <c r="L155" t="s">
        <v>58</v>
      </c>
      <c r="M155" t="s">
        <v>29</v>
      </c>
      <c r="N155" t="s">
        <v>30</v>
      </c>
      <c r="O155" s="1">
        <v>1998.04</v>
      </c>
      <c r="P155" s="1">
        <v>1037.02</v>
      </c>
      <c r="Q155" s="1">
        <v>961.02</v>
      </c>
      <c r="R155" t="s">
        <v>31</v>
      </c>
      <c r="S155">
        <v>2025</v>
      </c>
      <c r="T155" s="2">
        <v>0.48098136173449979</v>
      </c>
    </row>
    <row r="156" spans="1:20" x14ac:dyDescent="0.35">
      <c r="A156" t="s">
        <v>333</v>
      </c>
      <c r="B156" t="s">
        <v>169</v>
      </c>
      <c r="C156" t="s">
        <v>22</v>
      </c>
      <c r="D156" t="s">
        <v>34</v>
      </c>
      <c r="E156" t="s">
        <v>35</v>
      </c>
      <c r="F156" t="s">
        <v>36</v>
      </c>
      <c r="G156" t="s">
        <v>81</v>
      </c>
      <c r="H156" t="s">
        <v>82</v>
      </c>
      <c r="I156">
        <v>37</v>
      </c>
      <c r="J156">
        <v>195.19</v>
      </c>
      <c r="K156">
        <v>105.23</v>
      </c>
      <c r="L156" t="s">
        <v>28</v>
      </c>
      <c r="M156" t="s">
        <v>39</v>
      </c>
      <c r="N156" t="s">
        <v>40</v>
      </c>
      <c r="O156" s="1">
        <v>7222.03</v>
      </c>
      <c r="P156" s="1">
        <v>3893.51</v>
      </c>
      <c r="Q156" s="1">
        <v>3328.52</v>
      </c>
      <c r="R156" t="s">
        <v>61</v>
      </c>
      <c r="S156">
        <v>2025</v>
      </c>
      <c r="T156" s="2">
        <v>0.46088426661201898</v>
      </c>
    </row>
    <row r="157" spans="1:20" x14ac:dyDescent="0.35">
      <c r="A157" t="s">
        <v>334</v>
      </c>
      <c r="B157" t="s">
        <v>233</v>
      </c>
      <c r="C157" t="s">
        <v>44</v>
      </c>
      <c r="D157" t="s">
        <v>45</v>
      </c>
      <c r="E157" t="s">
        <v>46</v>
      </c>
      <c r="F157" t="s">
        <v>36</v>
      </c>
      <c r="G157" t="s">
        <v>81</v>
      </c>
      <c r="H157" t="s">
        <v>82</v>
      </c>
      <c r="I157">
        <v>12</v>
      </c>
      <c r="J157">
        <v>389.11</v>
      </c>
      <c r="K157">
        <v>245.99</v>
      </c>
      <c r="L157" t="s">
        <v>28</v>
      </c>
      <c r="M157" t="s">
        <v>39</v>
      </c>
      <c r="N157" t="s">
        <v>70</v>
      </c>
      <c r="O157" s="1">
        <v>4669.32</v>
      </c>
      <c r="P157" s="1">
        <v>2951.88</v>
      </c>
      <c r="Q157" s="1">
        <v>1717.44</v>
      </c>
      <c r="R157" t="s">
        <v>61</v>
      </c>
      <c r="S157">
        <v>2025</v>
      </c>
      <c r="T157" s="2">
        <v>0.36781372876564461</v>
      </c>
    </row>
    <row r="158" spans="1:20" x14ac:dyDescent="0.35">
      <c r="A158" t="s">
        <v>335</v>
      </c>
      <c r="B158" t="s">
        <v>141</v>
      </c>
      <c r="C158" t="s">
        <v>86</v>
      </c>
      <c r="D158" t="s">
        <v>87</v>
      </c>
      <c r="E158" t="s">
        <v>88</v>
      </c>
      <c r="F158" t="s">
        <v>95</v>
      </c>
      <c r="G158" t="s">
        <v>96</v>
      </c>
      <c r="H158" t="s">
        <v>97</v>
      </c>
      <c r="I158">
        <v>23</v>
      </c>
      <c r="J158">
        <v>213.68</v>
      </c>
      <c r="K158">
        <v>146.4</v>
      </c>
      <c r="L158" t="s">
        <v>28</v>
      </c>
      <c r="M158" t="s">
        <v>29</v>
      </c>
      <c r="N158" t="s">
        <v>30</v>
      </c>
      <c r="O158" s="1">
        <v>4914.6400000000003</v>
      </c>
      <c r="P158" s="1">
        <v>3367.2</v>
      </c>
      <c r="Q158" s="1">
        <v>1547.44</v>
      </c>
      <c r="R158" t="s">
        <v>31</v>
      </c>
      <c r="S158">
        <v>2025</v>
      </c>
      <c r="T158" s="2">
        <v>0.31486334706102581</v>
      </c>
    </row>
    <row r="159" spans="1:20" x14ac:dyDescent="0.35">
      <c r="A159" t="s">
        <v>336</v>
      </c>
      <c r="B159" t="s">
        <v>139</v>
      </c>
      <c r="C159" t="s">
        <v>22</v>
      </c>
      <c r="D159" t="s">
        <v>34</v>
      </c>
      <c r="E159" t="s">
        <v>35</v>
      </c>
      <c r="F159" t="s">
        <v>36</v>
      </c>
      <c r="G159" t="s">
        <v>81</v>
      </c>
      <c r="H159" t="s">
        <v>82</v>
      </c>
      <c r="I159">
        <v>9</v>
      </c>
      <c r="J159">
        <v>109.92</v>
      </c>
      <c r="K159">
        <v>71.209999999999994</v>
      </c>
      <c r="L159" t="s">
        <v>58</v>
      </c>
      <c r="M159" t="s">
        <v>39</v>
      </c>
      <c r="N159" t="s">
        <v>70</v>
      </c>
      <c r="O159" s="1">
        <v>989.28</v>
      </c>
      <c r="P159" s="1">
        <v>640.89</v>
      </c>
      <c r="Q159" s="1">
        <v>348.39</v>
      </c>
      <c r="R159" t="s">
        <v>50</v>
      </c>
      <c r="S159">
        <v>2025</v>
      </c>
      <c r="T159" s="2">
        <v>0.35216521106259102</v>
      </c>
    </row>
    <row r="160" spans="1:20" x14ac:dyDescent="0.35">
      <c r="A160" t="s">
        <v>337</v>
      </c>
      <c r="B160" t="s">
        <v>338</v>
      </c>
      <c r="C160" t="s">
        <v>64</v>
      </c>
      <c r="D160" t="s">
        <v>91</v>
      </c>
      <c r="E160" t="s">
        <v>92</v>
      </c>
      <c r="F160" t="s">
        <v>47</v>
      </c>
      <c r="G160" t="s">
        <v>48</v>
      </c>
      <c r="H160" t="s">
        <v>49</v>
      </c>
      <c r="I160">
        <v>16</v>
      </c>
      <c r="J160">
        <v>361.57</v>
      </c>
      <c r="K160">
        <v>279.75</v>
      </c>
      <c r="L160" t="s">
        <v>28</v>
      </c>
      <c r="M160" t="s">
        <v>39</v>
      </c>
      <c r="N160" t="s">
        <v>30</v>
      </c>
      <c r="O160" s="1">
        <v>5785.12</v>
      </c>
      <c r="P160" s="1">
        <v>4476</v>
      </c>
      <c r="Q160" s="1">
        <v>1309.1199999999999</v>
      </c>
      <c r="R160" t="s">
        <v>31</v>
      </c>
      <c r="S160">
        <v>2025</v>
      </c>
      <c r="T160" s="2">
        <v>0.22629089802804431</v>
      </c>
    </row>
    <row r="161" spans="1:20" x14ac:dyDescent="0.35">
      <c r="A161" t="s">
        <v>339</v>
      </c>
      <c r="B161" t="s">
        <v>260</v>
      </c>
      <c r="C161" t="s">
        <v>44</v>
      </c>
      <c r="D161" t="s">
        <v>45</v>
      </c>
      <c r="E161" t="s">
        <v>46</v>
      </c>
      <c r="F161" t="s">
        <v>36</v>
      </c>
      <c r="G161" t="s">
        <v>81</v>
      </c>
      <c r="H161" t="s">
        <v>82</v>
      </c>
      <c r="I161">
        <v>10</v>
      </c>
      <c r="J161">
        <v>380.52</v>
      </c>
      <c r="K161">
        <v>267.33999999999997</v>
      </c>
      <c r="L161" t="s">
        <v>28</v>
      </c>
      <c r="M161" t="s">
        <v>29</v>
      </c>
      <c r="N161" t="s">
        <v>70</v>
      </c>
      <c r="O161" s="1">
        <v>3805.2</v>
      </c>
      <c r="P161" s="1">
        <v>2673.4</v>
      </c>
      <c r="Q161" s="1">
        <v>1131.8</v>
      </c>
      <c r="R161" t="s">
        <v>78</v>
      </c>
      <c r="S161">
        <v>2025</v>
      </c>
      <c r="T161" s="2">
        <v>0.29743508882581737</v>
      </c>
    </row>
    <row r="162" spans="1:20" x14ac:dyDescent="0.35">
      <c r="A162" t="s">
        <v>340</v>
      </c>
      <c r="B162" t="s">
        <v>126</v>
      </c>
      <c r="C162" t="s">
        <v>44</v>
      </c>
      <c r="D162" t="s">
        <v>45</v>
      </c>
      <c r="E162" t="s">
        <v>46</v>
      </c>
      <c r="F162" t="s">
        <v>67</v>
      </c>
      <c r="G162" t="s">
        <v>68</v>
      </c>
      <c r="H162" t="s">
        <v>69</v>
      </c>
      <c r="I162">
        <v>24</v>
      </c>
      <c r="J162">
        <v>243.6</v>
      </c>
      <c r="K162">
        <v>130.63</v>
      </c>
      <c r="L162" t="s">
        <v>28</v>
      </c>
      <c r="M162" t="s">
        <v>29</v>
      </c>
      <c r="N162" t="s">
        <v>30</v>
      </c>
      <c r="O162" s="1">
        <v>5846.4</v>
      </c>
      <c r="P162" s="1">
        <v>3135.12</v>
      </c>
      <c r="Q162" s="1">
        <v>2711.28</v>
      </c>
      <c r="R162" t="s">
        <v>61</v>
      </c>
      <c r="S162">
        <v>2025</v>
      </c>
      <c r="T162" s="2">
        <v>0.463752052545156</v>
      </c>
    </row>
    <row r="163" spans="1:20" x14ac:dyDescent="0.35">
      <c r="A163" t="s">
        <v>341</v>
      </c>
      <c r="B163" t="s">
        <v>139</v>
      </c>
      <c r="C163" t="s">
        <v>44</v>
      </c>
      <c r="D163" t="s">
        <v>45</v>
      </c>
      <c r="E163" t="s">
        <v>46</v>
      </c>
      <c r="F163" t="s">
        <v>95</v>
      </c>
      <c r="G163" t="s">
        <v>102</v>
      </c>
      <c r="H163" t="s">
        <v>103</v>
      </c>
      <c r="I163">
        <v>39</v>
      </c>
      <c r="J163">
        <v>254.05</v>
      </c>
      <c r="K163">
        <v>165.61</v>
      </c>
      <c r="L163" t="s">
        <v>58</v>
      </c>
      <c r="M163" t="s">
        <v>39</v>
      </c>
      <c r="N163" t="s">
        <v>70</v>
      </c>
      <c r="O163" s="1">
        <v>9907.9500000000007</v>
      </c>
      <c r="P163" s="1">
        <v>6458.7900000000009</v>
      </c>
      <c r="Q163" s="1">
        <v>3449.16</v>
      </c>
      <c r="R163" t="s">
        <v>50</v>
      </c>
      <c r="S163">
        <v>2025</v>
      </c>
      <c r="T163" s="2">
        <v>0.3481204487305648</v>
      </c>
    </row>
    <row r="164" spans="1:20" x14ac:dyDescent="0.35">
      <c r="A164" t="s">
        <v>342</v>
      </c>
      <c r="B164" t="s">
        <v>273</v>
      </c>
      <c r="C164" t="s">
        <v>86</v>
      </c>
      <c r="D164" t="s">
        <v>87</v>
      </c>
      <c r="E164" t="s">
        <v>88</v>
      </c>
      <c r="F164" t="s">
        <v>36</v>
      </c>
      <c r="G164" t="s">
        <v>81</v>
      </c>
      <c r="H164" t="s">
        <v>82</v>
      </c>
      <c r="I164">
        <v>49</v>
      </c>
      <c r="J164">
        <v>221.8</v>
      </c>
      <c r="K164">
        <v>123.5</v>
      </c>
      <c r="L164" t="s">
        <v>58</v>
      </c>
      <c r="M164" t="s">
        <v>39</v>
      </c>
      <c r="N164" t="s">
        <v>40</v>
      </c>
      <c r="O164" s="1">
        <v>10868.2</v>
      </c>
      <c r="P164" s="1">
        <v>6051.5</v>
      </c>
      <c r="Q164" s="1">
        <v>4816.7000000000007</v>
      </c>
      <c r="R164" t="s">
        <v>61</v>
      </c>
      <c r="S164">
        <v>2025</v>
      </c>
      <c r="T164" s="2">
        <v>0.44319206492335439</v>
      </c>
    </row>
    <row r="165" spans="1:20" x14ac:dyDescent="0.35">
      <c r="A165" t="s">
        <v>343</v>
      </c>
      <c r="B165" t="s">
        <v>287</v>
      </c>
      <c r="C165" t="s">
        <v>64</v>
      </c>
      <c r="D165" t="s">
        <v>65</v>
      </c>
      <c r="E165" t="s">
        <v>66</v>
      </c>
      <c r="F165" t="s">
        <v>47</v>
      </c>
      <c r="G165" t="s">
        <v>48</v>
      </c>
      <c r="H165" t="s">
        <v>49</v>
      </c>
      <c r="I165">
        <v>28</v>
      </c>
      <c r="J165">
        <v>166.8</v>
      </c>
      <c r="K165">
        <v>110.52</v>
      </c>
      <c r="L165" t="s">
        <v>58</v>
      </c>
      <c r="M165" t="s">
        <v>29</v>
      </c>
      <c r="N165" t="s">
        <v>30</v>
      </c>
      <c r="O165" s="1">
        <v>4670.4000000000005</v>
      </c>
      <c r="P165" s="1">
        <v>3094.56</v>
      </c>
      <c r="Q165" s="1">
        <v>1575.8400000000011</v>
      </c>
      <c r="R165" t="s">
        <v>83</v>
      </c>
      <c r="S165">
        <v>2025</v>
      </c>
      <c r="T165" s="2">
        <v>0.33741007194244621</v>
      </c>
    </row>
    <row r="166" spans="1:20" x14ac:dyDescent="0.35">
      <c r="A166" t="s">
        <v>344</v>
      </c>
      <c r="B166" t="s">
        <v>200</v>
      </c>
      <c r="C166" t="s">
        <v>44</v>
      </c>
      <c r="D166" t="s">
        <v>45</v>
      </c>
      <c r="E166" t="s">
        <v>46</v>
      </c>
      <c r="F166" t="s">
        <v>25</v>
      </c>
      <c r="G166" t="s">
        <v>26</v>
      </c>
      <c r="H166" t="s">
        <v>27</v>
      </c>
      <c r="I166">
        <v>26</v>
      </c>
      <c r="J166">
        <v>354.47</v>
      </c>
      <c r="K166">
        <v>277.39</v>
      </c>
      <c r="L166" t="s">
        <v>58</v>
      </c>
      <c r="M166" t="s">
        <v>29</v>
      </c>
      <c r="N166" t="s">
        <v>70</v>
      </c>
      <c r="O166" s="1">
        <v>9216.2200000000012</v>
      </c>
      <c r="P166" s="1">
        <v>7212.1399999999994</v>
      </c>
      <c r="Q166" s="1">
        <v>2004.080000000002</v>
      </c>
      <c r="R166" t="s">
        <v>31</v>
      </c>
      <c r="S166">
        <v>2025</v>
      </c>
      <c r="T166" s="2">
        <v>0.21745140632493601</v>
      </c>
    </row>
    <row r="167" spans="1:20" x14ac:dyDescent="0.35">
      <c r="A167" t="s">
        <v>345</v>
      </c>
      <c r="B167" t="s">
        <v>346</v>
      </c>
      <c r="C167" t="s">
        <v>22</v>
      </c>
      <c r="D167" t="s">
        <v>23</v>
      </c>
      <c r="E167" t="s">
        <v>24</v>
      </c>
      <c r="F167" t="s">
        <v>95</v>
      </c>
      <c r="G167" t="s">
        <v>96</v>
      </c>
      <c r="H167" t="s">
        <v>97</v>
      </c>
      <c r="I167">
        <v>34</v>
      </c>
      <c r="J167">
        <v>335.91</v>
      </c>
      <c r="K167">
        <v>194.75</v>
      </c>
      <c r="L167" t="s">
        <v>28</v>
      </c>
      <c r="M167" t="s">
        <v>39</v>
      </c>
      <c r="N167" t="s">
        <v>70</v>
      </c>
      <c r="O167" s="1">
        <v>11420.94</v>
      </c>
      <c r="P167" s="1">
        <v>6621.5</v>
      </c>
      <c r="Q167" s="1">
        <v>4799.4400000000014</v>
      </c>
      <c r="R167" t="s">
        <v>61</v>
      </c>
      <c r="S167">
        <v>2025</v>
      </c>
      <c r="T167" s="2">
        <v>0.42023160965734868</v>
      </c>
    </row>
    <row r="168" spans="1:20" x14ac:dyDescent="0.35">
      <c r="A168" t="s">
        <v>347</v>
      </c>
      <c r="B168" t="s">
        <v>348</v>
      </c>
      <c r="C168" t="s">
        <v>64</v>
      </c>
      <c r="D168" t="s">
        <v>91</v>
      </c>
      <c r="E168" t="s">
        <v>92</v>
      </c>
      <c r="F168" t="s">
        <v>47</v>
      </c>
      <c r="G168" t="s">
        <v>48</v>
      </c>
      <c r="H168" t="s">
        <v>49</v>
      </c>
      <c r="I168">
        <v>14</v>
      </c>
      <c r="J168">
        <v>345.64</v>
      </c>
      <c r="K168">
        <v>253</v>
      </c>
      <c r="L168" t="s">
        <v>58</v>
      </c>
      <c r="M168" t="s">
        <v>39</v>
      </c>
      <c r="N168" t="s">
        <v>40</v>
      </c>
      <c r="O168" s="1">
        <v>4838.96</v>
      </c>
      <c r="P168" s="1">
        <v>3542</v>
      </c>
      <c r="Q168" s="1">
        <v>1296.96</v>
      </c>
      <c r="R168" t="s">
        <v>31</v>
      </c>
      <c r="S168">
        <v>2025</v>
      </c>
      <c r="T168" s="2">
        <v>0.26802453419743089</v>
      </c>
    </row>
    <row r="169" spans="1:20" x14ac:dyDescent="0.35">
      <c r="A169" t="s">
        <v>349</v>
      </c>
      <c r="B169" t="s">
        <v>72</v>
      </c>
      <c r="C169" t="s">
        <v>44</v>
      </c>
      <c r="D169" t="s">
        <v>45</v>
      </c>
      <c r="E169" t="s">
        <v>46</v>
      </c>
      <c r="F169" t="s">
        <v>36</v>
      </c>
      <c r="G169" t="s">
        <v>81</v>
      </c>
      <c r="H169" t="s">
        <v>82</v>
      </c>
      <c r="I169">
        <v>28</v>
      </c>
      <c r="J169">
        <v>148.97999999999999</v>
      </c>
      <c r="K169">
        <v>97.59</v>
      </c>
      <c r="L169" t="s">
        <v>28</v>
      </c>
      <c r="M169" t="s">
        <v>29</v>
      </c>
      <c r="N169" t="s">
        <v>70</v>
      </c>
      <c r="O169" s="1">
        <v>4171.4399999999996</v>
      </c>
      <c r="P169" s="1">
        <v>2732.52</v>
      </c>
      <c r="Q169" s="1">
        <v>1438.92</v>
      </c>
      <c r="R169" t="s">
        <v>50</v>
      </c>
      <c r="S169">
        <v>2025</v>
      </c>
      <c r="T169" s="2">
        <v>0.34494563028594438</v>
      </c>
    </row>
    <row r="170" spans="1:20" x14ac:dyDescent="0.35">
      <c r="A170" t="s">
        <v>350</v>
      </c>
      <c r="B170" t="s">
        <v>258</v>
      </c>
      <c r="C170" t="s">
        <v>64</v>
      </c>
      <c r="D170" t="s">
        <v>91</v>
      </c>
      <c r="E170" t="s">
        <v>92</v>
      </c>
      <c r="F170" t="s">
        <v>25</v>
      </c>
      <c r="G170" t="s">
        <v>26</v>
      </c>
      <c r="H170" t="s">
        <v>27</v>
      </c>
      <c r="I170">
        <v>14</v>
      </c>
      <c r="J170">
        <v>182.67</v>
      </c>
      <c r="K170">
        <v>110.22</v>
      </c>
      <c r="L170" t="s">
        <v>28</v>
      </c>
      <c r="M170" t="s">
        <v>29</v>
      </c>
      <c r="N170" t="s">
        <v>30</v>
      </c>
      <c r="O170" s="1">
        <v>2557.38</v>
      </c>
      <c r="P170" s="1">
        <v>1543.08</v>
      </c>
      <c r="Q170" s="1">
        <v>1014.3</v>
      </c>
      <c r="R170" t="s">
        <v>41</v>
      </c>
      <c r="S170">
        <v>2025</v>
      </c>
      <c r="T170" s="2">
        <v>0.39661685005748071</v>
      </c>
    </row>
    <row r="171" spans="1:20" x14ac:dyDescent="0.35">
      <c r="A171" t="s">
        <v>351</v>
      </c>
      <c r="B171" t="s">
        <v>289</v>
      </c>
      <c r="C171" t="s">
        <v>44</v>
      </c>
      <c r="D171" t="s">
        <v>45</v>
      </c>
      <c r="E171" t="s">
        <v>46</v>
      </c>
      <c r="F171" t="s">
        <v>67</v>
      </c>
      <c r="G171" t="s">
        <v>68</v>
      </c>
      <c r="H171" t="s">
        <v>69</v>
      </c>
      <c r="I171">
        <v>19</v>
      </c>
      <c r="J171">
        <v>191.44</v>
      </c>
      <c r="K171">
        <v>108.08</v>
      </c>
      <c r="L171" t="s">
        <v>28</v>
      </c>
      <c r="M171" t="s">
        <v>39</v>
      </c>
      <c r="N171" t="s">
        <v>40</v>
      </c>
      <c r="O171" s="1">
        <v>3637.36</v>
      </c>
      <c r="P171" s="1">
        <v>2053.52</v>
      </c>
      <c r="Q171" s="1">
        <v>1583.84</v>
      </c>
      <c r="R171" t="s">
        <v>78</v>
      </c>
      <c r="S171">
        <v>2025</v>
      </c>
      <c r="T171" s="2">
        <v>0.43543669034684501</v>
      </c>
    </row>
    <row r="172" spans="1:20" x14ac:dyDescent="0.35">
      <c r="A172" t="s">
        <v>352</v>
      </c>
      <c r="B172" t="s">
        <v>353</v>
      </c>
      <c r="C172" t="s">
        <v>44</v>
      </c>
      <c r="D172" t="s">
        <v>45</v>
      </c>
      <c r="E172" t="s">
        <v>46</v>
      </c>
      <c r="F172" t="s">
        <v>67</v>
      </c>
      <c r="G172" t="s">
        <v>108</v>
      </c>
      <c r="H172" t="s">
        <v>109</v>
      </c>
      <c r="I172">
        <v>33</v>
      </c>
      <c r="J172">
        <v>178.15</v>
      </c>
      <c r="K172">
        <v>126.41</v>
      </c>
      <c r="L172" t="s">
        <v>28</v>
      </c>
      <c r="M172" t="s">
        <v>29</v>
      </c>
      <c r="N172" t="s">
        <v>70</v>
      </c>
      <c r="O172" s="1">
        <v>5878.95</v>
      </c>
      <c r="P172" s="1">
        <v>4171.53</v>
      </c>
      <c r="Q172" s="1">
        <v>1707.42</v>
      </c>
      <c r="R172" t="s">
        <v>83</v>
      </c>
      <c r="S172">
        <v>2025</v>
      </c>
      <c r="T172" s="2">
        <v>0.29042941341566098</v>
      </c>
    </row>
    <row r="173" spans="1:20" x14ac:dyDescent="0.35">
      <c r="A173" t="s">
        <v>354</v>
      </c>
      <c r="B173" t="s">
        <v>355</v>
      </c>
      <c r="C173" t="s">
        <v>64</v>
      </c>
      <c r="D173" t="s">
        <v>65</v>
      </c>
      <c r="E173" t="s">
        <v>66</v>
      </c>
      <c r="F173" t="s">
        <v>25</v>
      </c>
      <c r="G173" t="s">
        <v>56</v>
      </c>
      <c r="H173" t="s">
        <v>57</v>
      </c>
      <c r="I173">
        <v>21</v>
      </c>
      <c r="J173">
        <v>175.28</v>
      </c>
      <c r="K173">
        <v>94.13</v>
      </c>
      <c r="L173" t="s">
        <v>28</v>
      </c>
      <c r="M173" t="s">
        <v>39</v>
      </c>
      <c r="N173" t="s">
        <v>70</v>
      </c>
      <c r="O173" s="1">
        <v>3680.88</v>
      </c>
      <c r="P173" s="1">
        <v>1976.73</v>
      </c>
      <c r="Q173" s="1">
        <v>1704.15</v>
      </c>
      <c r="R173" t="s">
        <v>78</v>
      </c>
      <c r="S173">
        <v>2025</v>
      </c>
      <c r="T173" s="2">
        <v>0.46297352806937481</v>
      </c>
    </row>
    <row r="174" spans="1:20" x14ac:dyDescent="0.35">
      <c r="A174" t="s">
        <v>356</v>
      </c>
      <c r="B174" t="s">
        <v>200</v>
      </c>
      <c r="C174" t="s">
        <v>64</v>
      </c>
      <c r="D174" t="s">
        <v>65</v>
      </c>
      <c r="E174" t="s">
        <v>66</v>
      </c>
      <c r="F174" t="s">
        <v>36</v>
      </c>
      <c r="G174" t="s">
        <v>37</v>
      </c>
      <c r="H174" t="s">
        <v>38</v>
      </c>
      <c r="I174">
        <v>40</v>
      </c>
      <c r="J174">
        <v>156.01</v>
      </c>
      <c r="K174">
        <v>124.36</v>
      </c>
      <c r="L174" t="s">
        <v>58</v>
      </c>
      <c r="M174" t="s">
        <v>29</v>
      </c>
      <c r="N174" t="s">
        <v>40</v>
      </c>
      <c r="O174" s="1">
        <v>6240.4</v>
      </c>
      <c r="P174" s="1">
        <v>4974.3999999999996</v>
      </c>
      <c r="Q174" s="1">
        <v>1266</v>
      </c>
      <c r="R174" t="s">
        <v>31</v>
      </c>
      <c r="S174">
        <v>2025</v>
      </c>
      <c r="T174" s="2">
        <v>0.2028716107941799</v>
      </c>
    </row>
    <row r="175" spans="1:20" x14ac:dyDescent="0.35">
      <c r="A175" t="s">
        <v>357</v>
      </c>
      <c r="B175" t="s">
        <v>358</v>
      </c>
      <c r="C175" t="s">
        <v>64</v>
      </c>
      <c r="D175" t="s">
        <v>91</v>
      </c>
      <c r="E175" t="s">
        <v>92</v>
      </c>
      <c r="F175" t="s">
        <v>95</v>
      </c>
      <c r="G175" t="s">
        <v>96</v>
      </c>
      <c r="H175" t="s">
        <v>97</v>
      </c>
      <c r="I175">
        <v>31</v>
      </c>
      <c r="J175">
        <v>38.119999999999997</v>
      </c>
      <c r="K175">
        <v>29.46</v>
      </c>
      <c r="L175" t="s">
        <v>58</v>
      </c>
      <c r="M175" t="s">
        <v>29</v>
      </c>
      <c r="N175" t="s">
        <v>30</v>
      </c>
      <c r="O175" s="1">
        <v>1181.72</v>
      </c>
      <c r="P175" s="1">
        <v>913.26</v>
      </c>
      <c r="Q175" s="1">
        <v>268.45999999999998</v>
      </c>
      <c r="R175" t="s">
        <v>41</v>
      </c>
      <c r="S175">
        <v>2025</v>
      </c>
      <c r="T175" s="2">
        <v>0.22717733473242399</v>
      </c>
    </row>
    <row r="176" spans="1:20" x14ac:dyDescent="0.35">
      <c r="A176" t="s">
        <v>359</v>
      </c>
      <c r="B176" t="s">
        <v>94</v>
      </c>
      <c r="C176" t="s">
        <v>22</v>
      </c>
      <c r="D176" t="s">
        <v>23</v>
      </c>
      <c r="E176" t="s">
        <v>24</v>
      </c>
      <c r="F176" t="s">
        <v>95</v>
      </c>
      <c r="G176" t="s">
        <v>96</v>
      </c>
      <c r="H176" t="s">
        <v>97</v>
      </c>
      <c r="I176">
        <v>43</v>
      </c>
      <c r="J176">
        <v>92.69</v>
      </c>
      <c r="K176">
        <v>58.59</v>
      </c>
      <c r="L176" t="s">
        <v>58</v>
      </c>
      <c r="M176" t="s">
        <v>29</v>
      </c>
      <c r="N176" t="s">
        <v>30</v>
      </c>
      <c r="O176" s="1">
        <v>3985.67</v>
      </c>
      <c r="P176" s="1">
        <v>2519.37</v>
      </c>
      <c r="Q176" s="1">
        <v>1466.3</v>
      </c>
      <c r="R176" t="s">
        <v>83</v>
      </c>
      <c r="S176">
        <v>2025</v>
      </c>
      <c r="T176" s="2">
        <v>0.36789297658862868</v>
      </c>
    </row>
    <row r="177" spans="1:20" x14ac:dyDescent="0.35">
      <c r="A177" t="s">
        <v>360</v>
      </c>
      <c r="B177" t="s">
        <v>137</v>
      </c>
      <c r="C177" t="s">
        <v>22</v>
      </c>
      <c r="D177" t="s">
        <v>34</v>
      </c>
      <c r="E177" t="s">
        <v>35</v>
      </c>
      <c r="F177" t="s">
        <v>47</v>
      </c>
      <c r="G177" t="s">
        <v>48</v>
      </c>
      <c r="H177" t="s">
        <v>49</v>
      </c>
      <c r="I177">
        <v>16</v>
      </c>
      <c r="J177">
        <v>168.38</v>
      </c>
      <c r="K177">
        <v>125.47</v>
      </c>
      <c r="L177" t="s">
        <v>28</v>
      </c>
      <c r="M177" t="s">
        <v>29</v>
      </c>
      <c r="N177" t="s">
        <v>70</v>
      </c>
      <c r="O177" s="1">
        <v>2694.08</v>
      </c>
      <c r="P177" s="1">
        <v>2007.52</v>
      </c>
      <c r="Q177" s="1">
        <v>686.56</v>
      </c>
      <c r="R177" t="s">
        <v>50</v>
      </c>
      <c r="S177">
        <v>2025</v>
      </c>
      <c r="T177" s="2">
        <v>0.25484024230906283</v>
      </c>
    </row>
    <row r="178" spans="1:20" x14ac:dyDescent="0.35">
      <c r="A178" t="s">
        <v>361</v>
      </c>
      <c r="B178" t="s">
        <v>240</v>
      </c>
      <c r="C178" t="s">
        <v>86</v>
      </c>
      <c r="D178" t="s">
        <v>112</v>
      </c>
      <c r="E178" t="s">
        <v>113</v>
      </c>
      <c r="F178" t="s">
        <v>25</v>
      </c>
      <c r="G178" t="s">
        <v>56</v>
      </c>
      <c r="H178" t="s">
        <v>57</v>
      </c>
      <c r="I178">
        <v>17</v>
      </c>
      <c r="J178">
        <v>281.56</v>
      </c>
      <c r="K178">
        <v>167.88</v>
      </c>
      <c r="L178" t="s">
        <v>28</v>
      </c>
      <c r="M178" t="s">
        <v>29</v>
      </c>
      <c r="N178" t="s">
        <v>30</v>
      </c>
      <c r="O178" s="1">
        <v>4786.5200000000004</v>
      </c>
      <c r="P178" s="1">
        <v>2853.96</v>
      </c>
      <c r="Q178" s="1">
        <v>1932.56</v>
      </c>
      <c r="R178" t="s">
        <v>50</v>
      </c>
      <c r="S178">
        <v>2025</v>
      </c>
      <c r="T178" s="2">
        <v>0.40375053274612882</v>
      </c>
    </row>
    <row r="179" spans="1:20" x14ac:dyDescent="0.35">
      <c r="A179" t="s">
        <v>362</v>
      </c>
      <c r="B179" t="s">
        <v>355</v>
      </c>
      <c r="C179" t="s">
        <v>73</v>
      </c>
      <c r="D179" t="s">
        <v>74</v>
      </c>
      <c r="E179" t="s">
        <v>75</v>
      </c>
      <c r="F179" t="s">
        <v>36</v>
      </c>
      <c r="G179" t="s">
        <v>37</v>
      </c>
      <c r="H179" t="s">
        <v>38</v>
      </c>
      <c r="I179">
        <v>32</v>
      </c>
      <c r="J179">
        <v>394.87</v>
      </c>
      <c r="K179">
        <v>215.88</v>
      </c>
      <c r="L179" t="s">
        <v>28</v>
      </c>
      <c r="M179" t="s">
        <v>39</v>
      </c>
      <c r="N179" t="s">
        <v>30</v>
      </c>
      <c r="O179" s="1">
        <v>12635.84</v>
      </c>
      <c r="P179" s="1">
        <v>6908.16</v>
      </c>
      <c r="Q179" s="1">
        <v>5727.68</v>
      </c>
      <c r="R179" t="s">
        <v>78</v>
      </c>
      <c r="S179">
        <v>2025</v>
      </c>
      <c r="T179" s="2">
        <v>0.45328842403829112</v>
      </c>
    </row>
    <row r="180" spans="1:20" x14ac:dyDescent="0.35">
      <c r="A180" t="s">
        <v>363</v>
      </c>
      <c r="B180" t="s">
        <v>85</v>
      </c>
      <c r="C180" t="s">
        <v>44</v>
      </c>
      <c r="D180" t="s">
        <v>45</v>
      </c>
      <c r="E180" t="s">
        <v>46</v>
      </c>
      <c r="F180" t="s">
        <v>67</v>
      </c>
      <c r="G180" t="s">
        <v>68</v>
      </c>
      <c r="H180" t="s">
        <v>69</v>
      </c>
      <c r="I180">
        <v>38</v>
      </c>
      <c r="J180">
        <v>357.14</v>
      </c>
      <c r="K180">
        <v>215.53</v>
      </c>
      <c r="L180" t="s">
        <v>28</v>
      </c>
      <c r="M180" t="s">
        <v>29</v>
      </c>
      <c r="N180" t="s">
        <v>70</v>
      </c>
      <c r="O180" s="1">
        <v>13571.32</v>
      </c>
      <c r="P180" s="1">
        <v>8190.14</v>
      </c>
      <c r="Q180" s="1">
        <v>5381.1799999999994</v>
      </c>
      <c r="R180" t="s">
        <v>83</v>
      </c>
      <c r="S180">
        <v>2025</v>
      </c>
      <c r="T180" s="2">
        <v>0.3965111720893767</v>
      </c>
    </row>
    <row r="181" spans="1:20" x14ac:dyDescent="0.35">
      <c r="A181" t="s">
        <v>364</v>
      </c>
      <c r="B181" t="s">
        <v>260</v>
      </c>
      <c r="C181" t="s">
        <v>73</v>
      </c>
      <c r="D181" t="s">
        <v>118</v>
      </c>
      <c r="E181" t="s">
        <v>119</v>
      </c>
      <c r="F181" t="s">
        <v>25</v>
      </c>
      <c r="G181" t="s">
        <v>56</v>
      </c>
      <c r="H181" t="s">
        <v>57</v>
      </c>
      <c r="I181">
        <v>43</v>
      </c>
      <c r="J181">
        <v>197.61</v>
      </c>
      <c r="K181">
        <v>155.18</v>
      </c>
      <c r="L181" t="s">
        <v>28</v>
      </c>
      <c r="M181" t="s">
        <v>29</v>
      </c>
      <c r="N181" t="s">
        <v>30</v>
      </c>
      <c r="O181" s="1">
        <v>8497.2300000000014</v>
      </c>
      <c r="P181" s="1">
        <v>6672.7400000000007</v>
      </c>
      <c r="Q181" s="1">
        <v>1824.4900000000009</v>
      </c>
      <c r="R181" t="s">
        <v>78</v>
      </c>
      <c r="S181">
        <v>2025</v>
      </c>
      <c r="T181" s="2">
        <v>0.21471585446080671</v>
      </c>
    </row>
    <row r="182" spans="1:20" x14ac:dyDescent="0.35">
      <c r="A182" t="s">
        <v>365</v>
      </c>
      <c r="B182" t="s">
        <v>366</v>
      </c>
      <c r="C182" t="s">
        <v>64</v>
      </c>
      <c r="D182" t="s">
        <v>91</v>
      </c>
      <c r="E182" t="s">
        <v>92</v>
      </c>
      <c r="F182" t="s">
        <v>36</v>
      </c>
      <c r="G182" t="s">
        <v>81</v>
      </c>
      <c r="H182" t="s">
        <v>82</v>
      </c>
      <c r="I182">
        <v>25</v>
      </c>
      <c r="J182">
        <v>397.78</v>
      </c>
      <c r="K182">
        <v>202.91</v>
      </c>
      <c r="L182" t="s">
        <v>58</v>
      </c>
      <c r="M182" t="s">
        <v>39</v>
      </c>
      <c r="N182" t="s">
        <v>40</v>
      </c>
      <c r="O182" s="1">
        <v>9944.5</v>
      </c>
      <c r="P182" s="1">
        <v>5072.75</v>
      </c>
      <c r="Q182" s="1">
        <v>4871.75</v>
      </c>
      <c r="R182" t="s">
        <v>61</v>
      </c>
      <c r="S182">
        <v>2025</v>
      </c>
      <c r="T182" s="2">
        <v>0.48989391120719988</v>
      </c>
    </row>
    <row r="183" spans="1:20" x14ac:dyDescent="0.35">
      <c r="A183" t="s">
        <v>367</v>
      </c>
      <c r="B183" t="s">
        <v>283</v>
      </c>
      <c r="C183" t="s">
        <v>86</v>
      </c>
      <c r="D183" t="s">
        <v>87</v>
      </c>
      <c r="E183" t="s">
        <v>88</v>
      </c>
      <c r="F183" t="s">
        <v>47</v>
      </c>
      <c r="G183" t="s">
        <v>48</v>
      </c>
      <c r="H183" t="s">
        <v>49</v>
      </c>
      <c r="I183">
        <v>18</v>
      </c>
      <c r="J183">
        <v>97.32</v>
      </c>
      <c r="K183">
        <v>51.94</v>
      </c>
      <c r="L183" t="s">
        <v>58</v>
      </c>
      <c r="M183" t="s">
        <v>29</v>
      </c>
      <c r="N183" t="s">
        <v>40</v>
      </c>
      <c r="O183" s="1">
        <v>1751.76</v>
      </c>
      <c r="P183" s="1">
        <v>934.92</v>
      </c>
      <c r="Q183" s="1">
        <v>816.8399999999998</v>
      </c>
      <c r="R183" t="s">
        <v>50</v>
      </c>
      <c r="S183">
        <v>2025</v>
      </c>
      <c r="T183" s="2">
        <v>0.46629675297986017</v>
      </c>
    </row>
    <row r="184" spans="1:20" x14ac:dyDescent="0.35">
      <c r="A184" t="s">
        <v>368</v>
      </c>
      <c r="B184" t="s">
        <v>369</v>
      </c>
      <c r="C184" t="s">
        <v>44</v>
      </c>
      <c r="D184" t="s">
        <v>45</v>
      </c>
      <c r="E184" t="s">
        <v>46</v>
      </c>
      <c r="F184" t="s">
        <v>25</v>
      </c>
      <c r="G184" t="s">
        <v>56</v>
      </c>
      <c r="H184" t="s">
        <v>57</v>
      </c>
      <c r="I184">
        <v>16</v>
      </c>
      <c r="J184">
        <v>188.6</v>
      </c>
      <c r="K184">
        <v>141.59</v>
      </c>
      <c r="L184" t="s">
        <v>58</v>
      </c>
      <c r="M184" t="s">
        <v>39</v>
      </c>
      <c r="N184" t="s">
        <v>70</v>
      </c>
      <c r="O184" s="1">
        <v>3017.6</v>
      </c>
      <c r="P184" s="1">
        <v>2265.44</v>
      </c>
      <c r="Q184" s="1">
        <v>752.15999999999985</v>
      </c>
      <c r="R184" t="s">
        <v>31</v>
      </c>
      <c r="S184">
        <v>2025</v>
      </c>
      <c r="T184" s="2">
        <v>0.2492576882290562</v>
      </c>
    </row>
    <row r="185" spans="1:20" x14ac:dyDescent="0.35">
      <c r="A185" t="s">
        <v>370</v>
      </c>
      <c r="B185" t="s">
        <v>353</v>
      </c>
      <c r="C185" t="s">
        <v>73</v>
      </c>
      <c r="D185" t="s">
        <v>118</v>
      </c>
      <c r="E185" t="s">
        <v>119</v>
      </c>
      <c r="F185" t="s">
        <v>95</v>
      </c>
      <c r="G185" t="s">
        <v>102</v>
      </c>
      <c r="H185" t="s">
        <v>103</v>
      </c>
      <c r="I185">
        <v>6</v>
      </c>
      <c r="J185">
        <v>268.02999999999997</v>
      </c>
      <c r="K185">
        <v>198.32</v>
      </c>
      <c r="L185" t="s">
        <v>58</v>
      </c>
      <c r="M185" t="s">
        <v>39</v>
      </c>
      <c r="N185" t="s">
        <v>40</v>
      </c>
      <c r="O185" s="1">
        <v>1608.18</v>
      </c>
      <c r="P185" s="1">
        <v>1189.92</v>
      </c>
      <c r="Q185" s="1">
        <v>418.25999999999982</v>
      </c>
      <c r="R185" t="s">
        <v>83</v>
      </c>
      <c r="S185">
        <v>2025</v>
      </c>
      <c r="T185" s="2">
        <v>0.26008282654926668</v>
      </c>
    </row>
    <row r="186" spans="1:20" x14ac:dyDescent="0.35">
      <c r="A186" t="s">
        <v>371</v>
      </c>
      <c r="B186" t="s">
        <v>372</v>
      </c>
      <c r="C186" t="s">
        <v>73</v>
      </c>
      <c r="D186" t="s">
        <v>74</v>
      </c>
      <c r="E186" t="s">
        <v>75</v>
      </c>
      <c r="F186" t="s">
        <v>25</v>
      </c>
      <c r="G186" t="s">
        <v>26</v>
      </c>
      <c r="H186" t="s">
        <v>27</v>
      </c>
      <c r="I186">
        <v>30</v>
      </c>
      <c r="J186">
        <v>55.79</v>
      </c>
      <c r="K186">
        <v>33.43</v>
      </c>
      <c r="L186" t="s">
        <v>58</v>
      </c>
      <c r="M186" t="s">
        <v>29</v>
      </c>
      <c r="N186" t="s">
        <v>30</v>
      </c>
      <c r="O186" s="1">
        <v>1673.7</v>
      </c>
      <c r="P186" s="1">
        <v>1002.9</v>
      </c>
      <c r="Q186" s="1">
        <v>670.80000000000007</v>
      </c>
      <c r="R186" t="s">
        <v>61</v>
      </c>
      <c r="S186">
        <v>2025</v>
      </c>
      <c r="T186" s="2">
        <v>0.40078867180498301</v>
      </c>
    </row>
    <row r="187" spans="1:20" x14ac:dyDescent="0.35">
      <c r="A187" t="s">
        <v>373</v>
      </c>
      <c r="B187" t="s">
        <v>231</v>
      </c>
      <c r="C187" t="s">
        <v>22</v>
      </c>
      <c r="D187" t="s">
        <v>34</v>
      </c>
      <c r="E187" t="s">
        <v>35</v>
      </c>
      <c r="F187" t="s">
        <v>47</v>
      </c>
      <c r="G187" t="s">
        <v>53</v>
      </c>
      <c r="H187" t="s">
        <v>38</v>
      </c>
      <c r="I187">
        <v>22</v>
      </c>
      <c r="J187">
        <v>100.49</v>
      </c>
      <c r="K187">
        <v>72.430000000000007</v>
      </c>
      <c r="L187" t="s">
        <v>28</v>
      </c>
      <c r="M187" t="s">
        <v>29</v>
      </c>
      <c r="N187" t="s">
        <v>70</v>
      </c>
      <c r="O187" s="1">
        <v>2210.7800000000002</v>
      </c>
      <c r="P187" s="1">
        <v>1593.46</v>
      </c>
      <c r="Q187" s="1">
        <v>617.31999999999971</v>
      </c>
      <c r="R187" t="s">
        <v>31</v>
      </c>
      <c r="S187">
        <v>2025</v>
      </c>
      <c r="T187" s="2">
        <v>0.27923176435466213</v>
      </c>
    </row>
    <row r="188" spans="1:20" x14ac:dyDescent="0.35">
      <c r="A188" t="s">
        <v>374</v>
      </c>
      <c r="B188" t="s">
        <v>128</v>
      </c>
      <c r="C188" t="s">
        <v>22</v>
      </c>
      <c r="D188" t="s">
        <v>34</v>
      </c>
      <c r="E188" t="s">
        <v>35</v>
      </c>
      <c r="F188" t="s">
        <v>36</v>
      </c>
      <c r="G188" t="s">
        <v>81</v>
      </c>
      <c r="H188" t="s">
        <v>82</v>
      </c>
      <c r="I188">
        <v>28</v>
      </c>
      <c r="J188">
        <v>225.75</v>
      </c>
      <c r="K188">
        <v>125.07</v>
      </c>
      <c r="L188" t="s">
        <v>58</v>
      </c>
      <c r="M188" t="s">
        <v>29</v>
      </c>
      <c r="N188" t="s">
        <v>40</v>
      </c>
      <c r="O188" s="1">
        <v>6321</v>
      </c>
      <c r="P188" s="1">
        <v>3501.96</v>
      </c>
      <c r="Q188" s="1">
        <v>2819.04</v>
      </c>
      <c r="R188" t="s">
        <v>78</v>
      </c>
      <c r="S188">
        <v>2025</v>
      </c>
      <c r="T188" s="2">
        <v>0.44598006644518268</v>
      </c>
    </row>
    <row r="189" spans="1:20" x14ac:dyDescent="0.35">
      <c r="A189" t="s">
        <v>375</v>
      </c>
      <c r="B189" t="s">
        <v>80</v>
      </c>
      <c r="C189" t="s">
        <v>44</v>
      </c>
      <c r="D189" t="s">
        <v>45</v>
      </c>
      <c r="E189" t="s">
        <v>46</v>
      </c>
      <c r="F189" t="s">
        <v>25</v>
      </c>
      <c r="G189" t="s">
        <v>56</v>
      </c>
      <c r="H189" t="s">
        <v>57</v>
      </c>
      <c r="I189">
        <v>46</v>
      </c>
      <c r="J189">
        <v>112.21</v>
      </c>
      <c r="K189">
        <v>58.87</v>
      </c>
      <c r="L189" t="s">
        <v>58</v>
      </c>
      <c r="M189" t="s">
        <v>29</v>
      </c>
      <c r="N189" t="s">
        <v>40</v>
      </c>
      <c r="O189" s="1">
        <v>5161.66</v>
      </c>
      <c r="P189" s="1">
        <v>2708.02</v>
      </c>
      <c r="Q189" s="1">
        <v>2453.64</v>
      </c>
      <c r="R189" t="s">
        <v>83</v>
      </c>
      <c r="S189">
        <v>2025</v>
      </c>
      <c r="T189" s="2">
        <v>0.47535870243293821</v>
      </c>
    </row>
    <row r="190" spans="1:20" x14ac:dyDescent="0.35">
      <c r="A190" t="s">
        <v>376</v>
      </c>
      <c r="B190" t="s">
        <v>101</v>
      </c>
      <c r="C190" t="s">
        <v>64</v>
      </c>
      <c r="D190" t="s">
        <v>65</v>
      </c>
      <c r="E190" t="s">
        <v>66</v>
      </c>
      <c r="F190" t="s">
        <v>25</v>
      </c>
      <c r="G190" t="s">
        <v>26</v>
      </c>
      <c r="H190" t="s">
        <v>27</v>
      </c>
      <c r="I190">
        <v>15</v>
      </c>
      <c r="J190">
        <v>290.33</v>
      </c>
      <c r="K190">
        <v>184.95</v>
      </c>
      <c r="L190" t="s">
        <v>28</v>
      </c>
      <c r="M190" t="s">
        <v>39</v>
      </c>
      <c r="N190" t="s">
        <v>30</v>
      </c>
      <c r="O190" s="1">
        <v>4354.95</v>
      </c>
      <c r="P190" s="1">
        <v>2774.25</v>
      </c>
      <c r="Q190" s="1">
        <v>1580.7</v>
      </c>
      <c r="R190" t="s">
        <v>31</v>
      </c>
      <c r="S190">
        <v>2025</v>
      </c>
      <c r="T190" s="2">
        <v>0.36296627975062862</v>
      </c>
    </row>
    <row r="191" spans="1:20" x14ac:dyDescent="0.35">
      <c r="A191" t="s">
        <v>377</v>
      </c>
      <c r="B191" t="s">
        <v>269</v>
      </c>
      <c r="C191" t="s">
        <v>44</v>
      </c>
      <c r="D191" t="s">
        <v>45</v>
      </c>
      <c r="E191" t="s">
        <v>46</v>
      </c>
      <c r="F191" t="s">
        <v>47</v>
      </c>
      <c r="G191" t="s">
        <v>48</v>
      </c>
      <c r="H191" t="s">
        <v>49</v>
      </c>
      <c r="I191">
        <v>25</v>
      </c>
      <c r="J191">
        <v>307.33999999999997</v>
      </c>
      <c r="K191">
        <v>190.21</v>
      </c>
      <c r="L191" t="s">
        <v>28</v>
      </c>
      <c r="M191" t="s">
        <v>39</v>
      </c>
      <c r="N191" t="s">
        <v>30</v>
      </c>
      <c r="O191" s="1">
        <v>7683.4999999999991</v>
      </c>
      <c r="P191" s="1">
        <v>4755.25</v>
      </c>
      <c r="Q191" s="1">
        <v>2928.2499999999991</v>
      </c>
      <c r="R191" t="s">
        <v>41</v>
      </c>
      <c r="S191">
        <v>2025</v>
      </c>
      <c r="T191" s="2">
        <v>0.38110886965575569</v>
      </c>
    </row>
    <row r="192" spans="1:20" x14ac:dyDescent="0.35">
      <c r="A192" t="s">
        <v>378</v>
      </c>
      <c r="B192" t="s">
        <v>379</v>
      </c>
      <c r="C192" t="s">
        <v>64</v>
      </c>
      <c r="D192" t="s">
        <v>65</v>
      </c>
      <c r="E192" t="s">
        <v>66</v>
      </c>
      <c r="F192" t="s">
        <v>36</v>
      </c>
      <c r="G192" t="s">
        <v>81</v>
      </c>
      <c r="H192" t="s">
        <v>82</v>
      </c>
      <c r="I192">
        <v>16</v>
      </c>
      <c r="J192">
        <v>353.91</v>
      </c>
      <c r="K192">
        <v>203.02</v>
      </c>
      <c r="L192" t="s">
        <v>28</v>
      </c>
      <c r="M192" t="s">
        <v>39</v>
      </c>
      <c r="N192" t="s">
        <v>30</v>
      </c>
      <c r="O192" s="1">
        <v>5662.56</v>
      </c>
      <c r="P192" s="1">
        <v>3248.32</v>
      </c>
      <c r="Q192" s="1">
        <v>2414.2399999999998</v>
      </c>
      <c r="R192" t="s">
        <v>31</v>
      </c>
      <c r="S192">
        <v>2025</v>
      </c>
      <c r="T192" s="2">
        <v>0.42635133225961402</v>
      </c>
    </row>
    <row r="193" spans="1:20" x14ac:dyDescent="0.35">
      <c r="A193" t="s">
        <v>380</v>
      </c>
      <c r="B193" t="s">
        <v>381</v>
      </c>
      <c r="C193" t="s">
        <v>64</v>
      </c>
      <c r="D193" t="s">
        <v>91</v>
      </c>
      <c r="E193" t="s">
        <v>92</v>
      </c>
      <c r="F193" t="s">
        <v>67</v>
      </c>
      <c r="G193" t="s">
        <v>108</v>
      </c>
      <c r="H193" t="s">
        <v>109</v>
      </c>
      <c r="I193">
        <v>5</v>
      </c>
      <c r="J193">
        <v>207.54</v>
      </c>
      <c r="K193">
        <v>141.83000000000001</v>
      </c>
      <c r="L193" t="s">
        <v>28</v>
      </c>
      <c r="M193" t="s">
        <v>39</v>
      </c>
      <c r="N193" t="s">
        <v>40</v>
      </c>
      <c r="O193" s="1">
        <v>1037.7</v>
      </c>
      <c r="P193" s="1">
        <v>709.15000000000009</v>
      </c>
      <c r="Q193" s="1">
        <v>328.55</v>
      </c>
      <c r="R193" t="s">
        <v>50</v>
      </c>
      <c r="S193">
        <v>2025</v>
      </c>
      <c r="T193" s="2">
        <v>0.31661366483569431</v>
      </c>
    </row>
    <row r="194" spans="1:20" x14ac:dyDescent="0.35">
      <c r="A194" t="s">
        <v>382</v>
      </c>
      <c r="B194" t="s">
        <v>135</v>
      </c>
      <c r="C194" t="s">
        <v>64</v>
      </c>
      <c r="D194" t="s">
        <v>65</v>
      </c>
      <c r="E194" t="s">
        <v>66</v>
      </c>
      <c r="F194" t="s">
        <v>67</v>
      </c>
      <c r="G194" t="s">
        <v>108</v>
      </c>
      <c r="H194" t="s">
        <v>109</v>
      </c>
      <c r="I194">
        <v>27</v>
      </c>
      <c r="J194">
        <v>26.76</v>
      </c>
      <c r="K194">
        <v>15.24</v>
      </c>
      <c r="L194" t="s">
        <v>58</v>
      </c>
      <c r="M194" t="s">
        <v>39</v>
      </c>
      <c r="N194" t="s">
        <v>30</v>
      </c>
      <c r="O194" s="1">
        <v>722.5200000000001</v>
      </c>
      <c r="P194" s="1">
        <v>411.48</v>
      </c>
      <c r="Q194" s="1">
        <v>311.04000000000008</v>
      </c>
      <c r="R194" t="s">
        <v>83</v>
      </c>
      <c r="S194">
        <v>2025</v>
      </c>
      <c r="T194" s="2">
        <v>0.43049327354260097</v>
      </c>
    </row>
    <row r="195" spans="1:20" x14ac:dyDescent="0.35">
      <c r="A195" t="s">
        <v>383</v>
      </c>
      <c r="B195" t="s">
        <v>384</v>
      </c>
      <c r="C195" t="s">
        <v>22</v>
      </c>
      <c r="D195" t="s">
        <v>23</v>
      </c>
      <c r="E195" t="s">
        <v>24</v>
      </c>
      <c r="F195" t="s">
        <v>95</v>
      </c>
      <c r="G195" t="s">
        <v>102</v>
      </c>
      <c r="H195" t="s">
        <v>103</v>
      </c>
      <c r="I195">
        <v>37</v>
      </c>
      <c r="J195">
        <v>249.67</v>
      </c>
      <c r="K195">
        <v>157.38999999999999</v>
      </c>
      <c r="L195" t="s">
        <v>28</v>
      </c>
      <c r="M195" t="s">
        <v>39</v>
      </c>
      <c r="N195" t="s">
        <v>30</v>
      </c>
      <c r="O195" s="1">
        <v>9237.7899999999991</v>
      </c>
      <c r="P195" s="1">
        <v>5823.4299999999994</v>
      </c>
      <c r="Q195" s="1">
        <v>3414.36</v>
      </c>
      <c r="R195" t="s">
        <v>50</v>
      </c>
      <c r="S195">
        <v>2025</v>
      </c>
      <c r="T195" s="2">
        <v>0.36960788240477432</v>
      </c>
    </row>
    <row r="196" spans="1:20" x14ac:dyDescent="0.35">
      <c r="A196" t="s">
        <v>385</v>
      </c>
      <c r="B196" t="s">
        <v>386</v>
      </c>
      <c r="C196" t="s">
        <v>44</v>
      </c>
      <c r="D196" t="s">
        <v>45</v>
      </c>
      <c r="E196" t="s">
        <v>46</v>
      </c>
      <c r="F196" t="s">
        <v>36</v>
      </c>
      <c r="G196" t="s">
        <v>81</v>
      </c>
      <c r="H196" t="s">
        <v>82</v>
      </c>
      <c r="I196">
        <v>50</v>
      </c>
      <c r="J196">
        <v>90.96</v>
      </c>
      <c r="K196">
        <v>70.430000000000007</v>
      </c>
      <c r="L196" t="s">
        <v>28</v>
      </c>
      <c r="M196" t="s">
        <v>39</v>
      </c>
      <c r="N196" t="s">
        <v>70</v>
      </c>
      <c r="O196" s="1">
        <v>4548</v>
      </c>
      <c r="P196" s="1">
        <v>3521.5</v>
      </c>
      <c r="Q196" s="1">
        <v>1026.5</v>
      </c>
      <c r="R196" t="s">
        <v>41</v>
      </c>
      <c r="S196">
        <v>2025</v>
      </c>
      <c r="T196" s="2">
        <v>0.2257036059806507</v>
      </c>
    </row>
    <row r="197" spans="1:20" x14ac:dyDescent="0.35">
      <c r="A197" t="s">
        <v>387</v>
      </c>
      <c r="B197" t="s">
        <v>132</v>
      </c>
      <c r="C197" t="s">
        <v>22</v>
      </c>
      <c r="D197" t="s">
        <v>23</v>
      </c>
      <c r="E197" t="s">
        <v>24</v>
      </c>
      <c r="F197" t="s">
        <v>36</v>
      </c>
      <c r="G197" t="s">
        <v>81</v>
      </c>
      <c r="H197" t="s">
        <v>82</v>
      </c>
      <c r="I197">
        <v>41</v>
      </c>
      <c r="J197">
        <v>336.7</v>
      </c>
      <c r="K197">
        <v>179.31</v>
      </c>
      <c r="L197" t="s">
        <v>58</v>
      </c>
      <c r="M197" t="s">
        <v>29</v>
      </c>
      <c r="N197" t="s">
        <v>40</v>
      </c>
      <c r="O197" s="1">
        <v>13804.7</v>
      </c>
      <c r="P197" s="1">
        <v>7351.71</v>
      </c>
      <c r="Q197" s="1">
        <v>6452.9899999999989</v>
      </c>
      <c r="R197" t="s">
        <v>41</v>
      </c>
      <c r="S197">
        <v>2025</v>
      </c>
      <c r="T197" s="2">
        <v>0.4674487674487674</v>
      </c>
    </row>
    <row r="198" spans="1:20" x14ac:dyDescent="0.35">
      <c r="A198" t="s">
        <v>388</v>
      </c>
      <c r="B198" t="s">
        <v>63</v>
      </c>
      <c r="C198" t="s">
        <v>44</v>
      </c>
      <c r="D198" t="s">
        <v>45</v>
      </c>
      <c r="E198" t="s">
        <v>46</v>
      </c>
      <c r="F198" t="s">
        <v>36</v>
      </c>
      <c r="G198" t="s">
        <v>81</v>
      </c>
      <c r="H198" t="s">
        <v>82</v>
      </c>
      <c r="I198">
        <v>42</v>
      </c>
      <c r="J198">
        <v>278.06</v>
      </c>
      <c r="K198">
        <v>162.66999999999999</v>
      </c>
      <c r="L198" t="s">
        <v>28</v>
      </c>
      <c r="M198" t="s">
        <v>39</v>
      </c>
      <c r="N198" t="s">
        <v>40</v>
      </c>
      <c r="O198" s="1">
        <v>11678.52</v>
      </c>
      <c r="P198" s="1">
        <v>6832.1399999999994</v>
      </c>
      <c r="Q198" s="1">
        <v>4846.380000000001</v>
      </c>
      <c r="R198" t="s">
        <v>50</v>
      </c>
      <c r="S198">
        <v>2025</v>
      </c>
      <c r="T198" s="2">
        <v>0.41498237790404963</v>
      </c>
    </row>
    <row r="199" spans="1:20" x14ac:dyDescent="0.35">
      <c r="A199" t="s">
        <v>389</v>
      </c>
      <c r="B199" t="s">
        <v>258</v>
      </c>
      <c r="C199" t="s">
        <v>22</v>
      </c>
      <c r="D199" t="s">
        <v>23</v>
      </c>
      <c r="E199" t="s">
        <v>24</v>
      </c>
      <c r="F199" t="s">
        <v>67</v>
      </c>
      <c r="G199" t="s">
        <v>68</v>
      </c>
      <c r="H199" t="s">
        <v>69</v>
      </c>
      <c r="I199">
        <v>45</v>
      </c>
      <c r="J199">
        <v>96.19</v>
      </c>
      <c r="K199">
        <v>61.7</v>
      </c>
      <c r="L199" t="s">
        <v>28</v>
      </c>
      <c r="M199" t="s">
        <v>39</v>
      </c>
      <c r="N199" t="s">
        <v>30</v>
      </c>
      <c r="O199" s="1">
        <v>4328.55</v>
      </c>
      <c r="P199" s="1">
        <v>2776.5</v>
      </c>
      <c r="Q199" s="1">
        <v>1552.05</v>
      </c>
      <c r="R199" t="s">
        <v>41</v>
      </c>
      <c r="S199">
        <v>2025</v>
      </c>
      <c r="T199" s="2">
        <v>0.35856118099594553</v>
      </c>
    </row>
    <row r="200" spans="1:20" x14ac:dyDescent="0.35">
      <c r="A200" t="s">
        <v>390</v>
      </c>
      <c r="B200" t="s">
        <v>391</v>
      </c>
      <c r="C200" t="s">
        <v>73</v>
      </c>
      <c r="D200" t="s">
        <v>74</v>
      </c>
      <c r="E200" t="s">
        <v>75</v>
      </c>
      <c r="F200" t="s">
        <v>95</v>
      </c>
      <c r="G200" t="s">
        <v>96</v>
      </c>
      <c r="H200" t="s">
        <v>97</v>
      </c>
      <c r="I200">
        <v>32</v>
      </c>
      <c r="J200">
        <v>157.77000000000001</v>
      </c>
      <c r="K200">
        <v>89.99</v>
      </c>
      <c r="L200" t="s">
        <v>58</v>
      </c>
      <c r="M200" t="s">
        <v>39</v>
      </c>
      <c r="N200" t="s">
        <v>40</v>
      </c>
      <c r="O200" s="1">
        <v>5048.6400000000003</v>
      </c>
      <c r="P200" s="1">
        <v>2879.68</v>
      </c>
      <c r="Q200" s="1">
        <v>2168.96</v>
      </c>
      <c r="R200" t="s">
        <v>41</v>
      </c>
      <c r="S200">
        <v>2025</v>
      </c>
      <c r="T200" s="2">
        <v>0.42961272738796991</v>
      </c>
    </row>
    <row r="201" spans="1:20" x14ac:dyDescent="0.35">
      <c r="A201" t="s">
        <v>392</v>
      </c>
      <c r="B201" t="s">
        <v>246</v>
      </c>
      <c r="C201" t="s">
        <v>86</v>
      </c>
      <c r="D201" t="s">
        <v>112</v>
      </c>
      <c r="E201" t="s">
        <v>113</v>
      </c>
      <c r="F201" t="s">
        <v>25</v>
      </c>
      <c r="G201" t="s">
        <v>56</v>
      </c>
      <c r="H201" t="s">
        <v>57</v>
      </c>
      <c r="I201">
        <v>41</v>
      </c>
      <c r="J201">
        <v>124.13</v>
      </c>
      <c r="K201">
        <v>83.98</v>
      </c>
      <c r="L201" t="s">
        <v>58</v>
      </c>
      <c r="M201" t="s">
        <v>39</v>
      </c>
      <c r="N201" t="s">
        <v>40</v>
      </c>
      <c r="O201" s="1">
        <v>5089.33</v>
      </c>
      <c r="P201" s="1">
        <v>3443.18</v>
      </c>
      <c r="Q201" s="1">
        <v>1646.15</v>
      </c>
      <c r="R201" t="s">
        <v>78</v>
      </c>
      <c r="S201">
        <v>2025</v>
      </c>
      <c r="T201" s="2">
        <v>0.32345122049464259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7B59-3DB9-4754-AA32-118FA7D5CE06}">
  <dimension ref="A3:K35"/>
  <sheetViews>
    <sheetView workbookViewId="0">
      <selection activeCell="L20" sqref="L20"/>
    </sheetView>
  </sheetViews>
  <sheetFormatPr defaultRowHeight="14.5" x14ac:dyDescent="0.35"/>
  <cols>
    <col min="1" max="1" width="19.7265625" bestFit="1" customWidth="1"/>
    <col min="2" max="2" width="12.54296875" bestFit="1" customWidth="1"/>
    <col min="4" max="4" width="11.81640625" bestFit="1" customWidth="1"/>
    <col min="5" max="5" width="12.90625" bestFit="1" customWidth="1"/>
    <col min="6" max="6" width="11" bestFit="1" customWidth="1"/>
    <col min="7" max="7" width="16.08984375" bestFit="1" customWidth="1"/>
    <col min="9" max="9" width="12.36328125" bestFit="1" customWidth="1"/>
    <col min="10" max="10" width="12.54296875" bestFit="1" customWidth="1"/>
    <col min="11" max="11" width="14.36328125" bestFit="1" customWidth="1"/>
  </cols>
  <sheetData>
    <row r="3" spans="1:11" x14ac:dyDescent="0.35">
      <c r="A3" t="s">
        <v>393</v>
      </c>
      <c r="D3" t="s">
        <v>394</v>
      </c>
      <c r="G3" t="s">
        <v>395</v>
      </c>
      <c r="J3" t="s">
        <v>394</v>
      </c>
      <c r="K3" t="s">
        <v>393</v>
      </c>
    </row>
    <row r="4" spans="1:11" x14ac:dyDescent="0.35">
      <c r="A4" s="1">
        <v>1167631.9899999995</v>
      </c>
      <c r="D4" s="1">
        <v>407199.11999999994</v>
      </c>
      <c r="G4">
        <v>5420</v>
      </c>
      <c r="J4" s="1">
        <v>407199.11999999994</v>
      </c>
      <c r="K4" s="1">
        <v>1167631.9899999995</v>
      </c>
    </row>
    <row r="5" spans="1:11" x14ac:dyDescent="0.35">
      <c r="K5" s="2">
        <f>J4/K4</f>
        <v>0.3487392633016162</v>
      </c>
    </row>
    <row r="10" spans="1:11" x14ac:dyDescent="0.35">
      <c r="A10" s="3" t="s">
        <v>396</v>
      </c>
      <c r="B10" t="s">
        <v>398</v>
      </c>
      <c r="E10" s="3" t="s">
        <v>396</v>
      </c>
      <c r="F10" t="s">
        <v>399</v>
      </c>
      <c r="I10" s="3" t="s">
        <v>396</v>
      </c>
      <c r="J10" t="s">
        <v>400</v>
      </c>
      <c r="K10" t="s">
        <v>401</v>
      </c>
    </row>
    <row r="11" spans="1:11" x14ac:dyDescent="0.35">
      <c r="A11" s="4" t="s">
        <v>50</v>
      </c>
      <c r="B11" s="1">
        <v>210357.99000000002</v>
      </c>
      <c r="E11" s="4" t="s">
        <v>64</v>
      </c>
      <c r="F11" s="1">
        <v>64960.639999999992</v>
      </c>
      <c r="I11" s="4" t="s">
        <v>25</v>
      </c>
      <c r="J11" s="1">
        <v>266459.20000000019</v>
      </c>
      <c r="K11" s="1">
        <v>97818.840000000026</v>
      </c>
    </row>
    <row r="12" spans="1:11" x14ac:dyDescent="0.35">
      <c r="A12" s="4" t="s">
        <v>41</v>
      </c>
      <c r="B12" s="1">
        <v>194086.84000000003</v>
      </c>
      <c r="E12" s="4" t="s">
        <v>44</v>
      </c>
      <c r="F12" s="1">
        <v>59505.19</v>
      </c>
      <c r="I12" s="4" t="s">
        <v>47</v>
      </c>
      <c r="J12" s="1">
        <v>223269.57</v>
      </c>
      <c r="K12" s="1">
        <v>74813.429999999993</v>
      </c>
    </row>
    <row r="13" spans="1:11" x14ac:dyDescent="0.35">
      <c r="A13" s="4" t="s">
        <v>78</v>
      </c>
      <c r="B13" s="1">
        <v>161145.84</v>
      </c>
      <c r="E13" s="4" t="s">
        <v>22</v>
      </c>
      <c r="F13" s="1">
        <v>55913.74</v>
      </c>
      <c r="I13" s="4" t="s">
        <v>67</v>
      </c>
      <c r="J13" s="1">
        <v>218902.8</v>
      </c>
      <c r="K13" s="1">
        <v>72922.959999999992</v>
      </c>
    </row>
    <row r="14" spans="1:11" x14ac:dyDescent="0.35">
      <c r="A14" s="4" t="s">
        <v>31</v>
      </c>
      <c r="B14" s="1">
        <v>166700.00999999998</v>
      </c>
      <c r="E14" s="4" t="s">
        <v>73</v>
      </c>
      <c r="F14" s="1">
        <v>50810.240000000005</v>
      </c>
      <c r="I14" s="4" t="s">
        <v>36</v>
      </c>
      <c r="J14" s="1">
        <v>258137.86000000002</v>
      </c>
      <c r="K14" s="1">
        <v>92724.62000000001</v>
      </c>
    </row>
    <row r="15" spans="1:11" x14ac:dyDescent="0.35">
      <c r="A15" s="4" t="s">
        <v>61</v>
      </c>
      <c r="B15" s="1">
        <v>237503.81</v>
      </c>
      <c r="E15" s="4" t="s">
        <v>86</v>
      </c>
      <c r="F15" s="1">
        <v>26948.050000000003</v>
      </c>
      <c r="I15" s="4" t="s">
        <v>95</v>
      </c>
      <c r="J15" s="1">
        <v>200862.56000000008</v>
      </c>
      <c r="K15" s="1">
        <v>68919.270000000019</v>
      </c>
    </row>
    <row r="16" spans="1:11" x14ac:dyDescent="0.35">
      <c r="A16" s="4" t="s">
        <v>83</v>
      </c>
      <c r="B16" s="1">
        <v>197837.50000000003</v>
      </c>
      <c r="E16" s="4" t="s">
        <v>397</v>
      </c>
      <c r="F16" s="1">
        <v>258137.86</v>
      </c>
      <c r="I16" s="4" t="s">
        <v>397</v>
      </c>
      <c r="J16" s="1">
        <v>1167631.9900000002</v>
      </c>
      <c r="K16" s="1">
        <v>407199.12000000005</v>
      </c>
    </row>
    <row r="17" spans="1:2" x14ac:dyDescent="0.35">
      <c r="A17" s="4" t="s">
        <v>397</v>
      </c>
      <c r="B17" s="1">
        <v>1167631.99</v>
      </c>
    </row>
    <row r="25" spans="1:2" x14ac:dyDescent="0.35">
      <c r="A25" s="3" t="s">
        <v>396</v>
      </c>
      <c r="B25" t="s">
        <v>402</v>
      </c>
    </row>
    <row r="26" spans="1:2" x14ac:dyDescent="0.35">
      <c r="A26" s="4" t="s">
        <v>46</v>
      </c>
      <c r="B26" s="1">
        <v>243569.27000000002</v>
      </c>
    </row>
    <row r="27" spans="1:2" x14ac:dyDescent="0.35">
      <c r="A27" s="4" t="s">
        <v>88</v>
      </c>
      <c r="B27" s="1">
        <v>147258.29000000004</v>
      </c>
    </row>
    <row r="28" spans="1:2" x14ac:dyDescent="0.35">
      <c r="A28" s="4" t="s">
        <v>24</v>
      </c>
      <c r="B28" s="1">
        <v>141115.72</v>
      </c>
    </row>
    <row r="29" spans="1:2" x14ac:dyDescent="0.35">
      <c r="A29" s="4" t="s">
        <v>35</v>
      </c>
      <c r="B29" s="1">
        <v>133592.15000000002</v>
      </c>
    </row>
    <row r="30" spans="1:2" x14ac:dyDescent="0.35">
      <c r="A30" s="4" t="s">
        <v>66</v>
      </c>
      <c r="B30" s="1">
        <v>122756.47999999998</v>
      </c>
    </row>
    <row r="31" spans="1:2" x14ac:dyDescent="0.35">
      <c r="A31" s="4" t="s">
        <v>92</v>
      </c>
      <c r="B31" s="1">
        <v>119278.72</v>
      </c>
    </row>
    <row r="32" spans="1:2" x14ac:dyDescent="0.35">
      <c r="A32" s="4" t="s">
        <v>119</v>
      </c>
      <c r="B32" s="1">
        <v>102477.22999999998</v>
      </c>
    </row>
    <row r="33" spans="1:2" x14ac:dyDescent="0.35">
      <c r="A33" s="4" t="s">
        <v>75</v>
      </c>
      <c r="B33" s="1">
        <v>96453.680000000022</v>
      </c>
    </row>
    <row r="34" spans="1:2" x14ac:dyDescent="0.35">
      <c r="A34" s="4" t="s">
        <v>113</v>
      </c>
      <c r="B34" s="1">
        <v>61130.45</v>
      </c>
    </row>
    <row r="35" spans="1:2" x14ac:dyDescent="0.35">
      <c r="A35" s="4" t="s">
        <v>397</v>
      </c>
      <c r="B35" s="1">
        <v>1167631.9900000002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0417-D44D-4D08-AAF0-6D6FACFC2E20}">
  <dimension ref="A1:A3"/>
  <sheetViews>
    <sheetView showGridLines="0" zoomScale="80" zoomScaleNormal="80" workbookViewId="0">
      <selection activeCell="Q27" sqref="Q27"/>
    </sheetView>
  </sheetViews>
  <sheetFormatPr defaultRowHeight="14.5" x14ac:dyDescent="0.35"/>
  <cols>
    <col min="3" max="3" width="8.7265625" customWidth="1"/>
  </cols>
  <sheetData>
    <row r="1" customFormat="1" x14ac:dyDescent="0.35"/>
    <row r="2" customFormat="1" ht="14" customHeight="1" x14ac:dyDescent="0.35"/>
    <row r="3" customFormat="1" ht="14"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A566-8CE6-46DB-8895-242071E18787}">
  <dimension ref="A1:A18"/>
  <sheetViews>
    <sheetView showGridLines="0" tabSelected="1" workbookViewId="0">
      <selection activeCell="A26" sqref="A26"/>
    </sheetView>
  </sheetViews>
  <sheetFormatPr defaultRowHeight="14.5" x14ac:dyDescent="0.35"/>
  <cols>
    <col min="1" max="1" width="206.81640625" bestFit="1" customWidth="1"/>
  </cols>
  <sheetData>
    <row r="1" spans="1:1" ht="21" x14ac:dyDescent="0.35">
      <c r="A1" s="6" t="s">
        <v>403</v>
      </c>
    </row>
    <row r="3" spans="1:1" x14ac:dyDescent="0.35">
      <c r="A3" t="s">
        <v>410</v>
      </c>
    </row>
    <row r="5" spans="1:1" ht="21" x14ac:dyDescent="0.35">
      <c r="A5" s="6" t="s">
        <v>404</v>
      </c>
    </row>
    <row r="6" spans="1:1" x14ac:dyDescent="0.35">
      <c r="A6" s="5"/>
    </row>
    <row r="7" spans="1:1" x14ac:dyDescent="0.35">
      <c r="A7" s="5" t="s">
        <v>405</v>
      </c>
    </row>
    <row r="8" spans="1:1" x14ac:dyDescent="0.35">
      <c r="A8" s="5" t="s">
        <v>406</v>
      </c>
    </row>
    <row r="9" spans="1:1" x14ac:dyDescent="0.35">
      <c r="A9" s="5" t="s">
        <v>407</v>
      </c>
    </row>
    <row r="10" spans="1:1" x14ac:dyDescent="0.35">
      <c r="A10" s="5" t="s">
        <v>408</v>
      </c>
    </row>
    <row r="11" spans="1:1" x14ac:dyDescent="0.35">
      <c r="A11" s="5" t="s">
        <v>409</v>
      </c>
    </row>
    <row r="13" spans="1:1" ht="21" x14ac:dyDescent="0.35">
      <c r="A13" s="6" t="s">
        <v>411</v>
      </c>
    </row>
    <row r="14" spans="1:1" x14ac:dyDescent="0.35">
      <c r="A14" s="5"/>
    </row>
    <row r="15" spans="1:1" x14ac:dyDescent="0.35">
      <c r="A15" s="5" t="s">
        <v>412</v>
      </c>
    </row>
    <row r="16" spans="1:1" x14ac:dyDescent="0.35">
      <c r="A16" s="5" t="s">
        <v>413</v>
      </c>
    </row>
    <row r="17" spans="1:1" x14ac:dyDescent="0.35">
      <c r="A17" s="5" t="s">
        <v>414</v>
      </c>
    </row>
    <row r="18" spans="1:1" x14ac:dyDescent="0.35">
      <c r="A18" s="5"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 Data</vt:lpstr>
      <vt:lpstr>Pivot Table</vt:lpstr>
      <vt:lpstr>Dashboad</vt:lpstr>
      <vt:lpstr>Sales Perfomance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Moipone Mosoeunyane</cp:lastModifiedBy>
  <dcterms:created xsi:type="dcterms:W3CDTF">2026-04-22T09:17:21Z</dcterms:created>
  <dcterms:modified xsi:type="dcterms:W3CDTF">2026-04-28T10:10:56Z</dcterms:modified>
</cp:coreProperties>
</file>